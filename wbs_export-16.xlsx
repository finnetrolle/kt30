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Ставки профессий" sheetId="2" state="visible" r:id="rId2"/>
    <sheet xmlns:r="http://schemas.openxmlformats.org/officeDocument/2006/relationships" name="Диаграмма Гантт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;0.0;"/>
    <numFmt numFmtId="165" formatCode="#,##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0"/>
    </font>
    <font>
      <sz val="10"/>
    </font>
    <font>
      <i val="1"/>
      <color rgb="00666666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D966"/>
        <bgColor rgb="00FFD966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2" fillId="5" borderId="1" pivotButton="0" quotePrefix="0" xfId="0"/>
    <xf numFmtId="0" fontId="0" fillId="5" borderId="1" pivotButton="0" quotePrefix="0" xfId="0"/>
    <xf numFmtId="165" fontId="2" fillId="5" borderId="1" applyAlignment="1" pivotButton="0" quotePrefix="0" xfId="0">
      <alignment horizontal="center"/>
    </xf>
    <xf numFmtId="3" fontId="2" fillId="5" borderId="1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5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2" borderId="1" pivotButton="0" quotePrefix="0" xfId="0"/>
    <xf numFmtId="0" fontId="3" fillId="4" borderId="1" applyAlignment="1" pivotButton="0" quotePrefix="0" xfId="0">
      <alignment vertical="center" wrapText="1"/>
    </xf>
    <xf numFmtId="0" fontId="0" fillId="6" borderId="1" pivotButton="0" quotePrefix="0" xfId="0"/>
    <xf numFmtId="0" fontId="4" fillId="0" borderId="1" applyAlignment="1" pivotButton="0" quotePrefix="0" xfId="0">
      <alignment vertical="center" wrapText="1"/>
    </xf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8" customWidth="1" min="28" max="28"/>
  </cols>
  <sheetData>
    <row r="1">
      <c r="A1" s="1" t="inlineStr">
        <is>
          <t>№ работы</t>
        </is>
      </c>
      <c r="B1" s="1" t="inlineStr">
        <is>
          <t>Название работы</t>
        </is>
      </c>
      <c r="C1" s="1" t="inlineStr">
        <is>
          <t>Паралл.</t>
        </is>
      </c>
      <c r="D1" s="1" t="inlineStr">
        <is>
          <t>BI-разработчик</t>
        </is>
      </c>
      <c r="E1" s="1" t="inlineStr">
        <is>
          <t>Backend-разработчик</t>
        </is>
      </c>
      <c r="F1" s="1" t="inlineStr">
        <is>
          <t>Data Engineer</t>
        </is>
      </c>
      <c r="G1" s="1" t="inlineStr">
        <is>
          <t>DevOps</t>
        </is>
      </c>
      <c r="H1" s="1" t="inlineStr">
        <is>
          <t>Pentester</t>
        </is>
      </c>
      <c r="I1" s="1" t="inlineStr">
        <is>
          <t>Performance Engineer</t>
        </is>
      </c>
      <c r="J1" s="1" t="inlineStr">
        <is>
          <t>QA-инженер</t>
        </is>
      </c>
      <c r="K1" s="1" t="inlineStr">
        <is>
          <t>Администратор БД</t>
        </is>
      </c>
      <c r="L1" s="1" t="inlineStr">
        <is>
          <t>Архитектор</t>
        </is>
      </c>
      <c r="M1" s="1" t="inlineStr">
        <is>
          <t>Архитектор ПО</t>
        </is>
      </c>
      <c r="N1" s="1" t="inlineStr">
        <is>
          <t>Архитектор безопасности</t>
        </is>
      </c>
      <c r="O1" s="1" t="inlineStr">
        <is>
          <t>Архитектор данных</t>
        </is>
      </c>
      <c r="P1" s="1" t="inlineStr">
        <is>
          <t>Инженер БД</t>
        </is>
      </c>
      <c r="Q1" s="1" t="inlineStr">
        <is>
          <t>Инженер инфраструктуры</t>
        </is>
      </c>
      <c r="R1" s="1" t="inlineStr">
        <is>
          <t>Инженер надежности</t>
        </is>
      </c>
      <c r="S1" s="1" t="inlineStr">
        <is>
          <t>Инженер по нагрузке</t>
        </is>
      </c>
      <c r="T1" s="1" t="inlineStr">
        <is>
          <t>Инженер развертывания</t>
        </is>
      </c>
      <c r="U1" s="1" t="inlineStr">
        <is>
          <t>Интеграционный архитектор</t>
        </is>
      </c>
      <c r="V1" s="1" t="inlineStr">
        <is>
          <t>Интеграционный разработчик</t>
        </is>
      </c>
      <c r="W1" s="1" t="inlineStr">
        <is>
          <t>Проектный менеджер</t>
        </is>
      </c>
      <c r="X1" s="1" t="inlineStr">
        <is>
          <t>Системный аналитик</t>
        </is>
      </c>
      <c r="Y1" s="1" t="inlineStr">
        <is>
          <t>Специалист ИБ</t>
        </is>
      </c>
      <c r="Z1" s="1" t="inlineStr">
        <is>
          <t>Тестировщик</t>
        </is>
      </c>
      <c r="AA1" s="1" t="inlineStr">
        <is>
          <t>Технический писатель</t>
        </is>
      </c>
      <c r="AB1" s="1" t="inlineStr">
        <is>
          <t>Стоимость (руб)</t>
        </is>
      </c>
    </row>
    <row r="2">
      <c r="A2" s="2" t="inlineStr">
        <is>
          <t>1</t>
        </is>
      </c>
      <c r="B2" s="3" t="inlineStr">
        <is>
          <t>Планирование и анализ</t>
        </is>
      </c>
      <c r="C2" s="4" t="inlineStr"/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6" t="n">
        <v>0</v>
      </c>
    </row>
    <row r="3">
      <c r="A3" s="7" t="inlineStr">
        <is>
          <t>1.1</t>
        </is>
      </c>
      <c r="B3" s="8" t="inlineStr">
        <is>
          <t xml:space="preserve">  Анализ требований и декомпозиция</t>
        </is>
      </c>
      <c r="C3" s="9" t="inlineStr">
        <is>
          <t>🔄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9" t="n">
        <v>49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9" t="n">
        <v>49</v>
      </c>
      <c r="Y3" s="10" t="n">
        <v>0</v>
      </c>
      <c r="Z3" s="10" t="n">
        <v>0</v>
      </c>
      <c r="AA3" s="10" t="n">
        <v>0</v>
      </c>
      <c r="AB3" s="11">
        <f>IF(L3=0,0,L3*VLOOKUP("Архитектор",'Ставки профессий'!$A:$B,2,FALSE))+IF(X3=0,0,X3*VLOOKUP("Системный аналитик",'Ставки профессий'!$A:$B,2,FALSE))</f>
        <v/>
      </c>
    </row>
    <row r="4">
      <c r="A4" s="12" t="inlineStr">
        <is>
          <t>1.1.1</t>
        </is>
      </c>
      <c r="B4" s="13" t="inlineStr">
        <is>
          <t xml:space="preserve">    Сбор и анализ функциональных требований</t>
        </is>
      </c>
      <c r="C4" s="14" t="inlineStr">
        <is>
          <t>🔄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</v>
      </c>
      <c r="W4" s="15" t="n">
        <v>0</v>
      </c>
      <c r="X4" s="14" t="n">
        <v>16</v>
      </c>
      <c r="Y4" s="15" t="n">
        <v>0</v>
      </c>
      <c r="Z4" s="15" t="n">
        <v>0</v>
      </c>
      <c r="AA4" s="15" t="n">
        <v>0</v>
      </c>
      <c r="AB4" s="16">
        <f>IF(X4=0,0,X4*VLOOKUP("Системный аналитик",'Ставки профессий'!$A:$B,2,FALSE))</f>
        <v/>
      </c>
    </row>
    <row r="5">
      <c r="A5" s="12" t="inlineStr">
        <is>
          <t>1.1.2</t>
        </is>
      </c>
      <c r="B5" s="13" t="inlineStr">
        <is>
          <t xml:space="preserve">    Анализ нефункциональных требований и ограничений</t>
        </is>
      </c>
      <c r="C5" s="14" t="inlineStr">
        <is>
          <t>🔄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4" t="n">
        <v>8</v>
      </c>
      <c r="M5" s="15" t="n">
        <v>0</v>
      </c>
      <c r="N5" s="15" t="n">
        <v>0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4" t="n">
        <v>8</v>
      </c>
      <c r="Y5" s="15" t="n">
        <v>0</v>
      </c>
      <c r="Z5" s="15" t="n">
        <v>0</v>
      </c>
      <c r="AA5" s="15" t="n">
        <v>0</v>
      </c>
      <c r="AB5" s="16">
        <f>IF(L5=0,0,L5*VLOOKUP("Архитектор",'Ставки профессий'!$A:$B,2,FALSE))+IF(X5=0,0,X5*VLOOKUP("Системный аналитик",'Ставки профессий'!$A:$B,2,FALSE))</f>
        <v/>
      </c>
    </row>
    <row r="6">
      <c r="A6" s="12" t="inlineStr">
        <is>
          <t>1.1.3</t>
        </is>
      </c>
      <c r="B6" s="13" t="inlineStr">
        <is>
          <t xml:space="preserve">    Формирование структуры ТЗ согласно 644-П</t>
        </is>
      </c>
      <c r="C6" s="14" t="inlineStr">
        <is>
          <t>🔄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4" t="n">
        <v>12</v>
      </c>
      <c r="Y6" s="15" t="n">
        <v>0</v>
      </c>
      <c r="Z6" s="15" t="n">
        <v>0</v>
      </c>
      <c r="AA6" s="15" t="n">
        <v>0</v>
      </c>
      <c r="AB6" s="16">
        <f>IF(X6=0,0,X6*VLOOKUP("Системный аналитик",'Ставки профессий'!$A:$B,2,FALSE))</f>
        <v/>
      </c>
    </row>
    <row r="7">
      <c r="A7" s="12" t="inlineStr">
        <is>
          <t>1.1.4</t>
        </is>
      </c>
      <c r="B7" s="13" t="inlineStr">
        <is>
          <t xml:space="preserve">    Разработка разделов ТЗ</t>
        </is>
      </c>
      <c r="C7" s="14" t="inlineStr"/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4" t="n">
        <v>14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4" t="n">
        <v>14</v>
      </c>
      <c r="Y7" s="15" t="n">
        <v>0</v>
      </c>
      <c r="Z7" s="15" t="n">
        <v>0</v>
      </c>
      <c r="AA7" s="15" t="n">
        <v>0</v>
      </c>
      <c r="AB7" s="16">
        <f>IF(L7=0,0,L7*VLOOKUP("Архитектор",'Ставки профессий'!$A:$B,2,FALSE))+IF(X7=0,0,X7*VLOOKUP("Системный аналитик",'Ставки профессий'!$A:$B,2,FALSE))</f>
        <v/>
      </c>
    </row>
    <row r="8">
      <c r="A8" s="12" t="inlineStr">
        <is>
          <t>1.1.5</t>
        </is>
      </c>
      <c r="B8" s="13" t="inlineStr">
        <is>
          <t xml:space="preserve">    Создание матрицы трассировки требований</t>
        </is>
      </c>
      <c r="C8" s="14" t="inlineStr"/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4" t="n">
        <v>10</v>
      </c>
      <c r="Y8" s="15" t="n">
        <v>0</v>
      </c>
      <c r="Z8" s="15" t="n">
        <v>0</v>
      </c>
      <c r="AA8" s="15" t="n">
        <v>0</v>
      </c>
      <c r="AB8" s="16">
        <f>IF(X8=0,0,X8*VLOOKUP("Системный аналитик",'Ставки профессий'!$A:$B,2,FALSE))</f>
        <v/>
      </c>
    </row>
    <row r="9">
      <c r="A9" s="12" t="inlineStr">
        <is>
          <t>1.1.6</t>
        </is>
      </c>
      <c r="B9" s="13" t="inlineStr">
        <is>
          <t xml:space="preserve">    Согласование и финализация ТЗ</t>
        </is>
      </c>
      <c r="C9" s="14" t="inlineStr"/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4" t="n">
        <v>8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4" t="n">
        <v>8</v>
      </c>
      <c r="Y9" s="15" t="n">
        <v>0</v>
      </c>
      <c r="Z9" s="15" t="n">
        <v>0</v>
      </c>
      <c r="AA9" s="15" t="n">
        <v>0</v>
      </c>
      <c r="AB9" s="16">
        <f>IF(L9=0,0,L9*VLOOKUP("Архитектор",'Ставки профессий'!$A:$B,2,FALSE))+IF(X9=0,0,X9*VLOOKUP("Системный аналитик",'Ставки профессий'!$A:$B,2,FALSE))</f>
        <v/>
      </c>
    </row>
    <row r="10">
      <c r="A10" s="7" t="inlineStr">
        <is>
          <t>1.2</t>
        </is>
      </c>
      <c r="B10" s="8" t="inlineStr">
        <is>
          <t xml:space="preserve">  Планирование инфраструктуры и ресурсов</t>
        </is>
      </c>
      <c r="C10" s="9" t="inlineStr">
        <is>
          <t>🔄</t>
        </is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9" t="n">
        <v>20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9" t="n">
        <v>20</v>
      </c>
      <c r="X10" s="10" t="n">
        <v>0</v>
      </c>
      <c r="Y10" s="10" t="n">
        <v>0</v>
      </c>
      <c r="Z10" s="10" t="n">
        <v>0</v>
      </c>
      <c r="AA10" s="10" t="n">
        <v>0</v>
      </c>
      <c r="AB10" s="11">
        <f>IF(Q10=0,0,Q10*VLOOKUP("Инженер инфраструктуры",'Ставки профессий'!$A:$B,2,FALSE))+IF(W10=0,0,W10*VLOOKUP("Проектный менеджер",'Ставки профессий'!$A:$B,2,FALSE))</f>
        <v/>
      </c>
    </row>
    <row r="11">
      <c r="A11" s="12" t="inlineStr">
        <is>
          <t>1.2.1</t>
        </is>
      </c>
      <c r="B11" s="13" t="inlineStr">
        <is>
          <t xml:space="preserve">    Анализ требований к инфраструктуре зон развертывания</t>
        </is>
      </c>
      <c r="C11" s="14" t="inlineStr">
        <is>
          <t>🔄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4" t="n">
        <v>4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6">
        <f>IF(Q11=0,0,Q11*VLOOKUP("Инженер инфраструктуры",'Ставки профессий'!$A:$B,2,FALSE))</f>
        <v/>
      </c>
    </row>
    <row r="12">
      <c r="A12" s="12" t="inlineStr">
        <is>
          <t>1.2.2</t>
        </is>
      </c>
      <c r="B12" s="13" t="inlineStr">
        <is>
          <t xml:space="preserve">    Расчет ресурсов для обеспечения RPO/RTO</t>
        </is>
      </c>
      <c r="C12" s="14" t="inlineStr"/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  <c r="P12" s="15" t="n">
        <v>0</v>
      </c>
      <c r="Q12" s="14" t="n">
        <v>12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6">
        <f>IF(Q12=0,0,Q12*VLOOKUP("Инженер инфраструктуры",'Ставки профессий'!$A:$B,2,FALSE))</f>
        <v/>
      </c>
    </row>
    <row r="13">
      <c r="A13" s="12" t="inlineStr">
        <is>
          <t>1.2.3</t>
        </is>
      </c>
      <c r="B13" s="13" t="inlineStr">
        <is>
          <t xml:space="preserve">    Планирование катастрофоустойчивости</t>
        </is>
      </c>
      <c r="C13" s="14" t="inlineStr"/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4" t="n">
        <v>4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6">
        <f>IF(Q13=0,0,Q13*VLOOKUP("Инженер инфраструктуры",'Ставки профессий'!$A:$B,2,FALSE))</f>
        <v/>
      </c>
    </row>
    <row r="14">
      <c r="A14" s="12" t="inlineStr">
        <is>
          <t>1.2.4</t>
        </is>
      </c>
      <c r="B14" s="13" t="inlineStr">
        <is>
          <t xml:space="preserve">    Составление карты компетенций поддержки</t>
        </is>
      </c>
      <c r="C14" s="14" t="inlineStr">
        <is>
          <t>🔄</t>
        </is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4" t="n">
        <v>12</v>
      </c>
      <c r="X14" s="15" t="n">
        <v>0</v>
      </c>
      <c r="Y14" s="15" t="n">
        <v>0</v>
      </c>
      <c r="Z14" s="15" t="n">
        <v>0</v>
      </c>
      <c r="AA14" s="15" t="n">
        <v>0</v>
      </c>
      <c r="AB14" s="16">
        <f>IF(W14=0,0,W14*VLOOKUP("Проектный менеджер",'Ставки профессий'!$A:$B,2,FALSE))</f>
        <v/>
      </c>
    </row>
    <row r="15">
      <c r="A15" s="12" t="inlineStr">
        <is>
          <t>1.2.5</t>
        </is>
      </c>
      <c r="B15" s="13" t="inlineStr">
        <is>
          <t xml:space="preserve">    Формирование плана инфраструктуры</t>
        </is>
      </c>
      <c r="C15" s="14" t="inlineStr"/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4" t="n">
        <v>4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4" t="n">
        <v>4</v>
      </c>
      <c r="X15" s="15" t="n">
        <v>0</v>
      </c>
      <c r="Y15" s="15" t="n">
        <v>0</v>
      </c>
      <c r="Z15" s="15" t="n">
        <v>0</v>
      </c>
      <c r="AA15" s="15" t="n">
        <v>0</v>
      </c>
      <c r="AB15" s="16">
        <f>IF(Q15=0,0,Q15*VLOOKUP("Инженер инфраструктуры",'Ставки профессий'!$A:$B,2,FALSE))+IF(W15=0,0,W15*VLOOKUP("Проектный менеджер",'Ставки профессий'!$A:$B,2,FALSE))</f>
        <v/>
      </c>
    </row>
    <row r="16">
      <c r="A16" s="2" t="inlineStr">
        <is>
          <t>2</t>
        </is>
      </c>
      <c r="B16" s="3" t="inlineStr">
        <is>
          <t>Проектирование</t>
        </is>
      </c>
      <c r="C16" s="4" t="inlineStr"/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6" t="n">
        <v>0</v>
      </c>
    </row>
    <row r="17">
      <c r="A17" s="7" t="inlineStr">
        <is>
          <t>2.1</t>
        </is>
      </c>
      <c r="B17" s="8" t="inlineStr">
        <is>
          <t xml:space="preserve">  Архитектурное проектирование</t>
        </is>
      </c>
      <c r="C17" s="9" t="inlineStr"/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9" t="n">
        <v>37</v>
      </c>
      <c r="N17" s="10" t="n">
        <v>0</v>
      </c>
      <c r="O17" s="10" t="n">
        <v>0</v>
      </c>
      <c r="P17" s="9" t="n">
        <v>37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1">
        <f>IF(M17=0,0,M17*VLOOKUP("Архитектор ПО",'Ставки профессий'!$A:$B,2,FALSE))+IF(P17=0,0,P17*VLOOKUP("Инженер БД",'Ставки профессий'!$A:$B,2,FALSE))</f>
        <v/>
      </c>
    </row>
    <row r="18">
      <c r="A18" s="12" t="inlineStr">
        <is>
          <t>2.1.1</t>
        </is>
      </c>
      <c r="B18" s="13" t="inlineStr">
        <is>
          <t xml:space="preserve">    Проектирование трехзвенной архитектуры</t>
        </is>
      </c>
      <c r="C18" s="14" t="inlineStr"/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4" t="n">
        <v>16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6">
        <f>IF(M18=0,0,M18*VLOOKUP("Архитектор ПО",'Ставки профессий'!$A:$B,2,FALSE))</f>
        <v/>
      </c>
    </row>
    <row r="19">
      <c r="A19" s="12" t="inlineStr">
        <is>
          <t>2.1.2</t>
        </is>
      </c>
      <c r="B19" s="13" t="inlineStr">
        <is>
          <t xml:space="preserve">    Проектирование многозонового развертывания</t>
        </is>
      </c>
      <c r="C19" s="14" t="inlineStr"/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4" t="n">
        <v>16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6">
        <f>IF(M19=0,0,M19*VLOOKUP("Архитектор ПО",'Ставки профессий'!$A:$B,2,FALSE))</f>
        <v/>
      </c>
    </row>
    <row r="20">
      <c r="A20" s="12" t="inlineStr">
        <is>
          <t>2.1.3</t>
        </is>
      </c>
      <c r="B20" s="13" t="inlineStr">
        <is>
          <t xml:space="preserve">    Проектирование схемы катастрофоустойчивости</t>
        </is>
      </c>
      <c r="C20" s="14" t="inlineStr">
        <is>
          <t>🔄</t>
        </is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4" t="n">
        <v>8</v>
      </c>
      <c r="N20" s="15" t="n">
        <v>0</v>
      </c>
      <c r="O20" s="15" t="n">
        <v>0</v>
      </c>
      <c r="P20" s="14" t="n">
        <v>8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6">
        <f>IF(M20=0,0,M20*VLOOKUP("Архитектор ПО",'Ставки профессий'!$A:$B,2,FALSE))+IF(P20=0,0,P20*VLOOKUP("Инженер БД",'Ставки профессий'!$A:$B,2,FALSE))</f>
        <v/>
      </c>
    </row>
    <row r="21">
      <c r="A21" s="12" t="inlineStr">
        <is>
          <t>2.1.4</t>
        </is>
      </c>
      <c r="B21" s="13" t="inlineStr">
        <is>
          <t xml:space="preserve">    Разработка стратегии резервного копирования</t>
        </is>
      </c>
      <c r="C21" s="14" t="inlineStr"/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4" t="n">
        <v>14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6">
        <f>IF(P21=0,0,P21*VLOOKUP("Инженер БД",'Ставки профессий'!$A:$B,2,FALSE))</f>
        <v/>
      </c>
    </row>
    <row r="22">
      <c r="A22" s="12" t="inlineStr">
        <is>
          <t>2.1.5</t>
        </is>
      </c>
      <c r="B22" s="13" t="inlineStr">
        <is>
          <t xml:space="preserve">    Оформление архитектурной документации</t>
        </is>
      </c>
      <c r="C22" s="14" t="inlineStr"/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4" t="n">
        <v>12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6">
        <f>IF(M22=0,0,M22*VLOOKUP("Архитектор ПО",'Ставки профессий'!$A:$B,2,FALSE))</f>
        <v/>
      </c>
    </row>
    <row r="23">
      <c r="A23" s="7" t="inlineStr">
        <is>
          <t>2.2</t>
        </is>
      </c>
      <c r="B23" s="8" t="inlineStr">
        <is>
          <t xml:space="preserve">  Проектирование подсистемы хранения и обработки</t>
        </is>
      </c>
      <c r="C23" s="9" t="inlineStr">
        <is>
          <t>🔄</t>
        </is>
      </c>
      <c r="D23" s="10" t="n">
        <v>0</v>
      </c>
      <c r="E23" s="10" t="n">
        <v>0</v>
      </c>
      <c r="F23" s="9" t="n">
        <v>59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9" t="n">
        <v>59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11">
        <f>IF(F23=0,0,F23*VLOOKUP("Data Engineer",'Ставки профессий'!$A:$B,2,FALSE))+IF(O23=0,0,O23*VLOOKUP("Архитектор данных",'Ставки профессий'!$A:$B,2,FALSE))</f>
        <v/>
      </c>
    </row>
    <row r="24">
      <c r="A24" s="12" t="inlineStr">
        <is>
          <t>2.2.1</t>
        </is>
      </c>
      <c r="B24" s="13" t="inlineStr">
        <is>
          <t xml:space="preserve">    Проектирование модели Raw Data Vault</t>
        </is>
      </c>
      <c r="C24" s="14" t="inlineStr">
        <is>
          <t>🔄</t>
        </is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4" t="n">
        <v>24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6">
        <f>IF(O24=0,0,O24*VLOOKUP("Архитектор данных",'Ставки профессий'!$A:$B,2,FALSE))</f>
        <v/>
      </c>
    </row>
    <row r="25">
      <c r="A25" s="12" t="inlineStr">
        <is>
          <t>2.2.2</t>
        </is>
      </c>
      <c r="B25" s="13" t="inlineStr">
        <is>
          <t xml:space="preserve">    Проектирование модели Business Data Vault</t>
        </is>
      </c>
      <c r="C25" s="14" t="inlineStr"/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4" t="n">
        <v>24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6">
        <f>IF(O25=0,0,O25*VLOOKUP("Архитектор данных",'Ставки профессий'!$A:$B,2,FALSE))</f>
        <v/>
      </c>
    </row>
    <row r="26">
      <c r="A26" s="12" t="inlineStr">
        <is>
          <t>2.2.3</t>
        </is>
      </c>
      <c r="B26" s="13" t="inlineStr">
        <is>
          <t xml:space="preserve">    Проектирование витрин данных</t>
        </is>
      </c>
      <c r="C26" s="14" t="inlineStr"/>
      <c r="D26" s="15" t="n">
        <v>0</v>
      </c>
      <c r="E26" s="15" t="n">
        <v>0</v>
      </c>
      <c r="F26" s="14" t="n">
        <v>8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4" t="n">
        <v>8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6">
        <f>IF(F26=0,0,F26*VLOOKUP("Data Engineer",'Ставки профессий'!$A:$B,2,FALSE))+IF(O26=0,0,O26*VLOOKUP("Архитектор данных",'Ставки профессий'!$A:$B,2,FALSE))</f>
        <v/>
      </c>
    </row>
    <row r="27">
      <c r="A27" s="12" t="inlineStr">
        <is>
          <t>2.2.4</t>
        </is>
      </c>
      <c r="B27" s="13" t="inlineStr">
        <is>
          <t xml:space="preserve">    Проектирование ETL-процессов загрузки</t>
        </is>
      </c>
      <c r="C27" s="14" t="inlineStr">
        <is>
          <t>🔄</t>
        </is>
      </c>
      <c r="D27" s="15" t="n">
        <v>0</v>
      </c>
      <c r="E27" s="15" t="n">
        <v>0</v>
      </c>
      <c r="F27" s="14" t="n">
        <v>32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6">
        <f>IF(F27=0,0,F27*VLOOKUP("Data Engineer",'Ставки профессий'!$A:$B,2,FALSE))</f>
        <v/>
      </c>
    </row>
    <row r="28">
      <c r="A28" s="12" t="inlineStr">
        <is>
          <t>2.2.5</t>
        </is>
      </c>
      <c r="B28" s="13" t="inlineStr">
        <is>
          <t xml:space="preserve">    Проектирование стратегии репликации и восстановления</t>
        </is>
      </c>
      <c r="C28" s="14" t="inlineStr"/>
      <c r="D28" s="15" t="n">
        <v>0</v>
      </c>
      <c r="E28" s="15" t="n">
        <v>0</v>
      </c>
      <c r="F28" s="14" t="n">
        <v>11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4" t="n">
        <v>11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6">
        <f>IF(F28=0,0,F28*VLOOKUP("Data Engineer",'Ставки профессий'!$A:$B,2,FALSE))+IF(O28=0,0,O28*VLOOKUP("Архитектор данных",'Ставки профессий'!$A:$B,2,FALSE))</f>
        <v/>
      </c>
    </row>
    <row r="29">
      <c r="A29" s="7" t="inlineStr">
        <is>
          <t>2.3</t>
        </is>
      </c>
      <c r="B29" s="8" t="inlineStr">
        <is>
          <t xml:space="preserve">  Проектирование безопасности и доступа</t>
        </is>
      </c>
      <c r="C29" s="9" t="inlineStr">
        <is>
          <t>🔄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9" t="n">
        <v>50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9" t="n">
        <v>50</v>
      </c>
      <c r="Z29" s="10" t="n">
        <v>0</v>
      </c>
      <c r="AA29" s="10" t="n">
        <v>0</v>
      </c>
      <c r="AB29" s="11">
        <f>IF(N29=0,0,N29*VLOOKUP("Архитектор безопасности",'Ставки профессий'!$A:$B,2,FALSE))+IF(Y29=0,0,Y29*VLOOKUP("Специалист ИБ",'Ставки профессий'!$A:$B,2,FALSE))</f>
        <v/>
      </c>
    </row>
    <row r="30">
      <c r="A30" s="12" t="inlineStr">
        <is>
          <t>2.3.1</t>
        </is>
      </c>
      <c r="B30" s="13" t="inlineStr">
        <is>
          <t xml:space="preserve">    Проектирование модели аутентификации и идентификации</t>
        </is>
      </c>
      <c r="C30" s="14" t="inlineStr">
        <is>
          <t>🔄</t>
        </is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4" t="n">
        <v>6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4" t="n">
        <v>6</v>
      </c>
      <c r="Z30" s="15" t="n">
        <v>0</v>
      </c>
      <c r="AA30" s="15" t="n">
        <v>0</v>
      </c>
      <c r="AB30" s="16">
        <f>IF(N30=0,0,N30*VLOOKUP("Архитектор безопасности",'Ставки профессий'!$A:$B,2,FALSE))+IF(Y30=0,0,Y30*VLOOKUP("Специалист ИБ",'Ставки профессий'!$A:$B,2,FALSE))</f>
        <v/>
      </c>
    </row>
    <row r="31">
      <c r="A31" s="12" t="inlineStr">
        <is>
          <t>2.3.2</t>
        </is>
      </c>
      <c r="B31" s="13" t="inlineStr">
        <is>
          <t xml:space="preserve">    Проектирование ролевой модели и системы авторизации</t>
        </is>
      </c>
      <c r="C31" s="14" t="inlineStr"/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4" t="n">
        <v>12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4" t="n">
        <v>12</v>
      </c>
      <c r="Z31" s="15" t="n">
        <v>0</v>
      </c>
      <c r="AA31" s="15" t="n">
        <v>0</v>
      </c>
      <c r="AB31" s="16">
        <f>IF(N31=0,0,N31*VLOOKUP("Архитектор безопасности",'Ставки профессий'!$A:$B,2,FALSE))+IF(Y31=0,0,Y31*VLOOKUP("Специалист ИБ",'Ставки профессий'!$A:$B,2,FALSE))</f>
        <v/>
      </c>
    </row>
    <row r="32">
      <c r="A32" s="12" t="inlineStr">
        <is>
          <t>2.3.3</t>
        </is>
      </c>
      <c r="B32" s="13" t="inlineStr">
        <is>
          <t xml:space="preserve">    Проектирование системы категоризации данных</t>
        </is>
      </c>
      <c r="C32" s="14" t="inlineStr">
        <is>
          <t>🔄</t>
        </is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4" t="n">
        <v>8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4" t="n">
        <v>8</v>
      </c>
      <c r="Z32" s="15" t="n">
        <v>0</v>
      </c>
      <c r="AA32" s="15" t="n">
        <v>0</v>
      </c>
      <c r="AB32" s="16">
        <f>IF(N32=0,0,N32*VLOOKUP("Архитектор безопасности",'Ставки профессий'!$A:$B,2,FALSE))+IF(Y32=0,0,Y32*VLOOKUP("Специалист ИБ",'Ставки профессий'!$A:$B,2,FALSE))</f>
        <v/>
      </c>
    </row>
    <row r="33">
      <c r="A33" s="12" t="inlineStr">
        <is>
          <t>2.3.4</t>
        </is>
      </c>
      <c r="B33" s="13" t="inlineStr">
        <is>
          <t xml:space="preserve">    Проектирование механизма гранулированного доступа</t>
        </is>
      </c>
      <c r="C33" s="14" t="inlineStr"/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4" t="n">
        <v>8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4" t="n">
        <v>8</v>
      </c>
      <c r="Z33" s="15" t="n">
        <v>0</v>
      </c>
      <c r="AA33" s="15" t="n">
        <v>0</v>
      </c>
      <c r="AB33" s="16">
        <f>IF(N33=0,0,N33*VLOOKUP("Архитектор безопасности",'Ставки профессий'!$A:$B,2,FALSE))+IF(Y33=0,0,Y33*VLOOKUP("Специалист ИБ",'Ставки профессий'!$A:$B,2,FALSE))</f>
        <v/>
      </c>
    </row>
    <row r="34">
      <c r="A34" s="12" t="inlineStr">
        <is>
          <t>2.3.5</t>
        </is>
      </c>
      <c r="B34" s="13" t="inlineStr">
        <is>
          <t xml:space="preserve">    Проектирование подсистемы аудита и контроля действий</t>
        </is>
      </c>
      <c r="C34" s="14" t="inlineStr"/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4" t="n">
        <v>8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4" t="n">
        <v>8</v>
      </c>
      <c r="Z34" s="15" t="n">
        <v>0</v>
      </c>
      <c r="AA34" s="15" t="n">
        <v>0</v>
      </c>
      <c r="AB34" s="16">
        <f>IF(N34=0,0,N34*VLOOKUP("Архитектор безопасности",'Ставки профессий'!$A:$B,2,FALSE))+IF(Y34=0,0,Y34*VLOOKUP("Специалист ИБ",'Ставки профессий'!$A:$B,2,FALSE))</f>
        <v/>
      </c>
    </row>
    <row r="35">
      <c r="A35" s="12" t="inlineStr">
        <is>
          <t>2.3.6</t>
        </is>
      </c>
      <c r="B35" s="13" t="inlineStr">
        <is>
          <t xml:space="preserve">    Формирование итоговой модели безопасности и политик доступа</t>
        </is>
      </c>
      <c r="C35" s="14" t="inlineStr"/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4" t="n">
        <v>8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4" t="n">
        <v>8</v>
      </c>
      <c r="Z35" s="15" t="n">
        <v>0</v>
      </c>
      <c r="AA35" s="15" t="n">
        <v>0</v>
      </c>
      <c r="AB35" s="16">
        <f>IF(N35=0,0,N35*VLOOKUP("Архитектор безопасности",'Ставки профессий'!$A:$B,2,FALSE))+IF(Y35=0,0,Y35*VLOOKUP("Специалист ИБ",'Ставки профессий'!$A:$B,2,FALSE))</f>
        <v/>
      </c>
    </row>
    <row r="36">
      <c r="A36" s="7" t="inlineStr">
        <is>
          <t>2.4</t>
        </is>
      </c>
      <c r="B36" s="8" t="inlineStr">
        <is>
          <t xml:space="preserve">  Проектирование интеграций</t>
        </is>
      </c>
      <c r="C36" s="9" t="inlineStr">
        <is>
          <t>🔄</t>
        </is>
      </c>
      <c r="D36" s="10" t="n">
        <v>0</v>
      </c>
      <c r="E36" s="9" t="n">
        <v>30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9" t="n">
        <v>30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1">
        <f>IF(E36=0,0,E36*VLOOKUP("Backend-разработчик",'Ставки профессий'!$A:$B,2,FALSE))+IF(U36=0,0,U36*VLOOKUP("Интеграционный архитектор",'Ставки профессий'!$A:$B,2,FALSE))</f>
        <v/>
      </c>
    </row>
    <row r="37">
      <c r="A37" s="12" t="inlineStr">
        <is>
          <t>2.4.1</t>
        </is>
      </c>
      <c r="B37" s="13" t="inlineStr">
        <is>
          <t xml:space="preserve">    Проектирование интеграционной архитектуры</t>
        </is>
      </c>
      <c r="C37" s="14" t="inlineStr">
        <is>
          <t>🔄</t>
        </is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4" t="n">
        <v>4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6">
        <f>IF(U37=0,0,U37*VLOOKUP("Интеграционный архитектор",'Ставки профессий'!$A:$B,2,FALSE))</f>
        <v/>
      </c>
    </row>
    <row r="38">
      <c r="A38" s="12" t="inlineStr">
        <is>
          <t>2.4.2</t>
        </is>
      </c>
      <c r="B38" s="13" t="inlineStr">
        <is>
          <t xml:space="preserve">    Проектирование интеграции с СУБД и хранилищами данных</t>
        </is>
      </c>
      <c r="C38" s="14" t="inlineStr"/>
      <c r="D38" s="15" t="n">
        <v>0</v>
      </c>
      <c r="E38" s="14" t="n">
        <v>6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0</v>
      </c>
      <c r="N38" s="15" t="n">
        <v>0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4" t="n">
        <v>6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6">
        <f>IF(E38=0,0,E38*VLOOKUP("Backend-разработчик",'Ставки профессий'!$A:$B,2,FALSE))+IF(U38=0,0,U38*VLOOKUP("Интеграционный архитектор",'Ставки профессий'!$A:$B,2,FALSE))</f>
        <v/>
      </c>
    </row>
    <row r="39">
      <c r="A39" s="12" t="inlineStr">
        <is>
          <t>2.4.3</t>
        </is>
      </c>
      <c r="B39" s="13" t="inlineStr">
        <is>
          <t xml:space="preserve">    Проектирование интеграции порталов управления</t>
        </is>
      </c>
      <c r="C39" s="14" t="inlineStr">
        <is>
          <t>🔄</t>
        </is>
      </c>
      <c r="D39" s="15" t="n">
        <v>0</v>
      </c>
      <c r="E39" s="14" t="n">
        <v>4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6">
        <f>IF(E39=0,0,E39*VLOOKUP("Backend-разработчик",'Ставки профессий'!$A:$B,2,FALSE))</f>
        <v/>
      </c>
    </row>
    <row r="40">
      <c r="A40" s="12" t="inlineStr">
        <is>
          <t>2.4.4</t>
        </is>
      </c>
      <c r="B40" s="13" t="inlineStr">
        <is>
          <t xml:space="preserve">    Проектирование потоков передачи событий ИБ</t>
        </is>
      </c>
      <c r="C40" s="14" t="inlineStr">
        <is>
          <t>🔄</t>
        </is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4" t="n">
        <v>16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6">
        <f>IF(U40=0,0,U40*VLOOKUP("Интеграционный архитектор",'Ставки профессий'!$A:$B,2,FALSE))</f>
        <v/>
      </c>
    </row>
    <row r="41">
      <c r="A41" s="12" t="inlineStr">
        <is>
          <t>2.4.5</t>
        </is>
      </c>
      <c r="B41" s="13" t="inlineStr">
        <is>
          <t xml:space="preserve">    Разработка API спецификаций</t>
        </is>
      </c>
      <c r="C41" s="14" t="inlineStr"/>
      <c r="D41" s="15" t="n">
        <v>0</v>
      </c>
      <c r="E41" s="14" t="n">
        <v>24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6">
        <f>IF(E41=0,0,E41*VLOOKUP("Backend-разработчик",'Ставки профессий'!$A:$B,2,FALSE))</f>
        <v/>
      </c>
    </row>
    <row r="42">
      <c r="A42" s="2" t="inlineStr">
        <is>
          <t>3</t>
        </is>
      </c>
      <c r="B42" s="3" t="inlineStr">
        <is>
          <t>Разработка</t>
        </is>
      </c>
      <c r="C42" s="4" t="inlineStr"/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6" t="n">
        <v>0</v>
      </c>
    </row>
    <row r="43">
      <c r="A43" s="7" t="inlineStr">
        <is>
          <t>3.1</t>
        </is>
      </c>
      <c r="B43" s="8" t="inlineStr">
        <is>
          <t xml:space="preserve">  Разработка подсистемы обработки и хранения</t>
        </is>
      </c>
      <c r="C43" s="9" t="inlineStr"/>
      <c r="D43" s="10" t="n">
        <v>0</v>
      </c>
      <c r="E43" s="9" t="n">
        <v>60</v>
      </c>
      <c r="F43" s="9" t="n">
        <v>60</v>
      </c>
      <c r="G43" s="10" t="n">
        <v>0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1">
        <f>IF(E43=0,0,E43*VLOOKUP("Backend-разработчик",'Ставки профессий'!$A:$B,2,FALSE))+IF(F43=0,0,F43*VLOOKUP("Data Engineer",'Ставки профессий'!$A:$B,2,FALSE))</f>
        <v/>
      </c>
    </row>
    <row r="44">
      <c r="A44" s="12" t="inlineStr">
        <is>
          <t>3.1.1</t>
        </is>
      </c>
      <c r="B44" s="13" t="inlineStr">
        <is>
          <t xml:space="preserve">    Проектирование и реализация слоя Сырого ядра (Raw Data Vault)</t>
        </is>
      </c>
      <c r="C44" s="14" t="inlineStr">
        <is>
          <t>🔄</t>
        </is>
      </c>
      <c r="D44" s="15" t="n">
        <v>0</v>
      </c>
      <c r="E44" s="15" t="n">
        <v>0</v>
      </c>
      <c r="F44" s="14" t="n">
        <v>16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6">
        <f>IF(F44=0,0,F44*VLOOKUP("Data Engineer",'Ставки профессий'!$A:$B,2,FALSE))</f>
        <v/>
      </c>
    </row>
    <row r="45">
      <c r="A45" s="12" t="inlineStr">
        <is>
          <t>3.1.2</t>
        </is>
      </c>
      <c r="B45" s="13" t="inlineStr">
        <is>
          <t xml:space="preserve">    Реализация Оперативного склада реляционных данных</t>
        </is>
      </c>
      <c r="C45" s="14" t="inlineStr">
        <is>
          <t>🔄</t>
        </is>
      </c>
      <c r="D45" s="15" t="n">
        <v>0</v>
      </c>
      <c r="E45" s="15" t="n">
        <v>0</v>
      </c>
      <c r="F45" s="14" t="n">
        <v>24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6">
        <f>IF(F45=0,0,F45*VLOOKUP("Data Engineer",'Ставки профессий'!$A:$B,2,FALSE))</f>
        <v/>
      </c>
    </row>
    <row r="46">
      <c r="A46" s="12" t="inlineStr">
        <is>
          <t>3.1.3</t>
        </is>
      </c>
      <c r="B46" s="13" t="inlineStr">
        <is>
          <t xml:space="preserve">    Разработка ETL-модулей загрузки и трансформации данных</t>
        </is>
      </c>
      <c r="C46" s="14" t="inlineStr"/>
      <c r="D46" s="15" t="n">
        <v>0</v>
      </c>
      <c r="E46" s="14" t="n">
        <v>16</v>
      </c>
      <c r="F46" s="14" t="n">
        <v>16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6">
        <f>IF(E46=0,0,E46*VLOOKUP("Backend-разработчик",'Ставки профессий'!$A:$B,2,FALSE))+IF(F46=0,0,F46*VLOOKUP("Data Engineer",'Ставки профессий'!$A:$B,2,FALSE))</f>
        <v/>
      </c>
    </row>
    <row r="47">
      <c r="A47" s="12" t="inlineStr">
        <is>
          <t>3.1.4</t>
        </is>
      </c>
      <c r="B47" s="13" t="inlineStr">
        <is>
          <t xml:space="preserve">    Реализация слоя Business Data Vault</t>
        </is>
      </c>
      <c r="C47" s="14" t="inlineStr"/>
      <c r="D47" s="15" t="n">
        <v>0</v>
      </c>
      <c r="E47" s="15" t="n">
        <v>0</v>
      </c>
      <c r="F47" s="14" t="n">
        <v>30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6">
        <f>IF(F47=0,0,F47*VLOOKUP("Data Engineer",'Ставки профессий'!$A:$B,2,FALSE))</f>
        <v/>
      </c>
    </row>
    <row r="48">
      <c r="A48" s="12" t="inlineStr">
        <is>
          <t>3.1.5</t>
        </is>
      </c>
      <c r="B48" s="13" t="inlineStr">
        <is>
          <t xml:space="preserve">    Настройка механизмов архивации данных с 6-летним сроком хранения</t>
        </is>
      </c>
      <c r="C48" s="14" t="inlineStr"/>
      <c r="D48" s="15" t="n">
        <v>0</v>
      </c>
      <c r="E48" s="14" t="n">
        <v>9</v>
      </c>
      <c r="F48" s="14" t="n">
        <v>9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6">
        <f>IF(E48=0,0,E48*VLOOKUP("Backend-разработчик",'Ставки профессий'!$A:$B,2,FALSE))+IF(F48=0,0,F48*VLOOKUP("Data Engineer",'Ставки профессий'!$A:$B,2,FALSE))</f>
        <v/>
      </c>
    </row>
    <row r="49">
      <c r="A49" s="7" t="inlineStr">
        <is>
          <t>3.2</t>
        </is>
      </c>
      <c r="B49" s="8" t="inlineStr">
        <is>
          <t xml:space="preserve">  Разработка витрин данных и аналитики</t>
        </is>
      </c>
      <c r="C49" s="9" t="inlineStr">
        <is>
          <t>🔄</t>
        </is>
      </c>
      <c r="D49" s="9" t="n">
        <v>57</v>
      </c>
      <c r="E49" s="10" t="n">
        <v>0</v>
      </c>
      <c r="F49" s="9" t="n">
        <v>57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1">
        <f>IF(D49=0,0,D49*VLOOKUP("BI-разработчик",'Ставки профессий'!$A:$B,2,FALSE))+IF(F49=0,0,F49*VLOOKUP("Data Engineer",'Ставки профессий'!$A:$B,2,FALSE))</f>
        <v/>
      </c>
    </row>
    <row r="50">
      <c r="A50" s="12" t="inlineStr">
        <is>
          <t>3.2.1</t>
        </is>
      </c>
      <c r="B50" s="13" t="inlineStr">
        <is>
          <t xml:space="preserve">    Проектирование схем предметно-ориентированных витрин</t>
        </is>
      </c>
      <c r="C50" s="14" t="inlineStr">
        <is>
          <t>🔄</t>
        </is>
      </c>
      <c r="D50" s="15" t="n">
        <v>0</v>
      </c>
      <c r="E50" s="15" t="n">
        <v>0</v>
      </c>
      <c r="F50" s="14" t="n">
        <v>12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6">
        <f>IF(F50=0,0,F50*VLOOKUP("Data Engineer",'Ставки профессий'!$A:$B,2,FALSE))</f>
        <v/>
      </c>
    </row>
    <row r="51">
      <c r="A51" s="12" t="inlineStr">
        <is>
          <t>3.2.2</t>
        </is>
      </c>
      <c r="B51" s="13" t="inlineStr">
        <is>
          <t xml:space="preserve">    Реализация ETL-процессов наполнения витрин</t>
        </is>
      </c>
      <c r="C51" s="14" t="inlineStr"/>
      <c r="D51" s="15" t="n">
        <v>0</v>
      </c>
      <c r="E51" s="15" t="n">
        <v>0</v>
      </c>
      <c r="F51" s="14" t="n">
        <v>24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6">
        <f>IF(F51=0,0,F51*VLOOKUP("Data Engineer",'Ставки профессий'!$A:$B,2,FALSE))</f>
        <v/>
      </c>
    </row>
    <row r="52">
      <c r="A52" s="12" t="inlineStr">
        <is>
          <t>3.2.3</t>
        </is>
      </c>
      <c r="B52" s="13" t="inlineStr">
        <is>
          <t xml:space="preserve">    Разработка оперативных витрин данных</t>
        </is>
      </c>
      <c r="C52" s="14" t="inlineStr">
        <is>
          <t>🔄</t>
        </is>
      </c>
      <c r="D52" s="15" t="n">
        <v>0</v>
      </c>
      <c r="E52" s="15" t="n">
        <v>0</v>
      </c>
      <c r="F52" s="14" t="n">
        <v>32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6">
        <f>IF(F52=0,0,F52*VLOOKUP("Data Engineer",'Ставки профессий'!$A:$B,2,FALSE))</f>
        <v/>
      </c>
    </row>
    <row r="53">
      <c r="A53" s="12" t="inlineStr">
        <is>
          <t>3.2.4</t>
        </is>
      </c>
      <c r="B53" s="13" t="inlineStr">
        <is>
          <t xml:space="preserve">    Настройка сервиса ускорения аналитических запросов</t>
        </is>
      </c>
      <c r="C53" s="14" t="inlineStr"/>
      <c r="D53" s="15" t="n">
        <v>0</v>
      </c>
      <c r="E53" s="15" t="n">
        <v>0</v>
      </c>
      <c r="F53" s="14" t="n">
        <v>28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6">
        <f>IF(F53=0,0,F53*VLOOKUP("Data Engineer",'Ставки профессий'!$A:$B,2,FALSE))</f>
        <v/>
      </c>
    </row>
    <row r="54">
      <c r="A54" s="12" t="inlineStr">
        <is>
          <t>3.2.5</t>
        </is>
      </c>
      <c r="B54" s="13" t="inlineStr">
        <is>
          <t xml:space="preserve">    Создание BI-представлений и аналитических отчётов</t>
        </is>
      </c>
      <c r="C54" s="14" t="inlineStr"/>
      <c r="D54" s="14" t="n">
        <v>18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6">
        <f>IF(D54=0,0,D54*VLOOKUP("BI-разработчик",'Ставки профессий'!$A:$B,2,FALSE))</f>
        <v/>
      </c>
    </row>
    <row r="55">
      <c r="A55" s="7" t="inlineStr">
        <is>
          <t>3.3</t>
        </is>
      </c>
      <c r="B55" s="8" t="inlineStr">
        <is>
          <t xml:space="preserve">  Разработка сервисов БД</t>
        </is>
      </c>
      <c r="C55" s="9" t="inlineStr">
        <is>
          <t>🔄</t>
        </is>
      </c>
      <c r="D55" s="10" t="n">
        <v>0</v>
      </c>
      <c r="E55" s="9" t="n">
        <v>60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9" t="n">
        <v>60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1">
        <f>IF(E55=0,0,E55*VLOOKUP("Backend-разработчик",'Ставки профессий'!$A:$B,2,FALSE))+IF(K55=0,0,K55*VLOOKUP("Администратор БД",'Ставки профессий'!$A:$B,2,FALSE))</f>
        <v/>
      </c>
    </row>
    <row r="56">
      <c r="A56" s="12" t="inlineStr">
        <is>
          <t>3.3.1</t>
        </is>
      </c>
      <c r="B56" s="13" t="inlineStr">
        <is>
          <t xml:space="preserve">    Разработка API управления жизненным циклом БД</t>
        </is>
      </c>
      <c r="C56" s="14" t="inlineStr">
        <is>
          <t>🔄</t>
        </is>
      </c>
      <c r="D56" s="15" t="n">
        <v>0</v>
      </c>
      <c r="E56" s="14" t="n">
        <v>16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6">
        <f>IF(E56=0,0,E56*VLOOKUP("Backend-разработчик",'Ставки профессий'!$A:$B,2,FALSE))</f>
        <v/>
      </c>
    </row>
    <row r="57">
      <c r="A57" s="12" t="inlineStr">
        <is>
          <t>3.3.2</t>
        </is>
      </c>
      <c r="B57" s="13" t="inlineStr">
        <is>
          <t xml:space="preserve">    Реализация модуля провиженинга Postgres Pro</t>
        </is>
      </c>
      <c r="C57" s="14" t="inlineStr">
        <is>
          <t>🔄</t>
        </is>
      </c>
      <c r="D57" s="15" t="n">
        <v>0</v>
      </c>
      <c r="E57" s="14" t="n">
        <v>20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4" t="n">
        <v>20</v>
      </c>
      <c r="L57" s="15" t="n">
        <v>0</v>
      </c>
      <c r="M57" s="15" t="n">
        <v>0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6">
        <f>IF(E57=0,0,E57*VLOOKUP("Backend-разработчик",'Ставки профессий'!$A:$B,2,FALSE))+IF(K57=0,0,K57*VLOOKUP("Администратор БД",'Ставки профессий'!$A:$B,2,FALSE))</f>
        <v/>
      </c>
    </row>
    <row r="58">
      <c r="A58" s="12" t="inlineStr">
        <is>
          <t>3.3.3</t>
        </is>
      </c>
      <c r="B58" s="13" t="inlineStr">
        <is>
          <t xml:space="preserve">    Настройка репликации и катастрофоустойчивости</t>
        </is>
      </c>
      <c r="C58" s="14" t="inlineStr"/>
      <c r="D58" s="15" t="n">
        <v>0</v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4" t="n">
        <v>16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6">
        <f>IF(K58=0,0,K58*VLOOKUP("Администратор БД",'Ставки профессий'!$A:$B,2,FALSE))</f>
        <v/>
      </c>
    </row>
    <row r="59">
      <c r="A59" s="12" t="inlineStr">
        <is>
          <t>3.3.4</t>
        </is>
      </c>
      <c r="B59" s="13" t="inlineStr">
        <is>
          <t xml:space="preserve">    Разработка модуля резервного копирования</t>
        </is>
      </c>
      <c r="C59" s="14" t="inlineStr">
        <is>
          <t>🔄</t>
        </is>
      </c>
      <c r="D59" s="15" t="n">
        <v>0</v>
      </c>
      <c r="E59" s="15" t="n">
        <v>0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4" t="n">
        <v>24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6">
        <f>IF(K59=0,0,K59*VLOOKUP("Администратор БД",'Ставки профессий'!$A:$B,2,FALSE))</f>
        <v/>
      </c>
    </row>
    <row r="60">
      <c r="A60" s="12" t="inlineStr">
        <is>
          <t>3.3.5</t>
        </is>
      </c>
      <c r="B60" s="13" t="inlineStr">
        <is>
          <t xml:space="preserve">    Интеграция с системой мониторинга</t>
        </is>
      </c>
      <c r="C60" s="14" t="inlineStr">
        <is>
          <t>🔄</t>
        </is>
      </c>
      <c r="D60" s="15" t="n">
        <v>0</v>
      </c>
      <c r="E60" s="14" t="n">
        <v>24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6">
        <f>IF(E60=0,0,E60*VLOOKUP("Backend-разработчик",'Ставки профессий'!$A:$B,2,FALSE))</f>
        <v/>
      </c>
    </row>
    <row r="61">
      <c r="A61" s="7" t="inlineStr">
        <is>
          <t>3.4</t>
        </is>
      </c>
      <c r="B61" s="8" t="inlineStr">
        <is>
          <t xml:space="preserve">  Разработка модуля безопасности</t>
        </is>
      </c>
      <c r="C61" s="9" t="inlineStr">
        <is>
          <t>🔄</t>
        </is>
      </c>
      <c r="D61" s="10" t="n">
        <v>0</v>
      </c>
      <c r="E61" s="9" t="n">
        <v>10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9" t="n">
        <v>10</v>
      </c>
      <c r="Z61" s="10" t="n">
        <v>0</v>
      </c>
      <c r="AA61" s="10" t="n">
        <v>0</v>
      </c>
      <c r="AB61" s="11">
        <f>IF(E61=0,0,E61*VLOOKUP("Backend-разработчик",'Ставки профессий'!$A:$B,2,FALSE))+IF(Y61=0,0,Y61*VLOOKUP("Специалист ИБ",'Ставки профессий'!$A:$B,2,FALSE))</f>
        <v/>
      </c>
    </row>
    <row r="62">
      <c r="A62" s="12" t="inlineStr">
        <is>
          <t>3.4.1</t>
        </is>
      </c>
      <c r="B62" s="13" t="inlineStr">
        <is>
          <t xml:space="preserve">    Подготовка пакета работ</t>
        </is>
      </c>
      <c r="C62" s="14" t="inlineStr"/>
      <c r="D62" s="15" t="n">
        <v>0</v>
      </c>
      <c r="E62" s="14" t="n">
        <v>2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4" t="n">
        <v>2</v>
      </c>
      <c r="Z62" s="15" t="n">
        <v>0</v>
      </c>
      <c r="AA62" s="15" t="n">
        <v>0</v>
      </c>
      <c r="AB62" s="16">
        <f>IF(E62=0,0,E62*VLOOKUP("Backend-разработчик",'Ставки профессий'!$A:$B,2,FALSE))+IF(Y62=0,0,Y62*VLOOKUP("Специалист ИБ",'Ставки профессий'!$A:$B,2,FALSE))</f>
        <v/>
      </c>
    </row>
    <row r="63">
      <c r="A63" s="12" t="inlineStr">
        <is>
          <t>3.4.2</t>
        </is>
      </c>
      <c r="B63" s="13" t="inlineStr">
        <is>
          <t xml:space="preserve">    Реализация основного объема работ</t>
        </is>
      </c>
      <c r="C63" s="14" t="inlineStr"/>
      <c r="D63" s="15" t="n">
        <v>0</v>
      </c>
      <c r="E63" s="14" t="n">
        <v>6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0</v>
      </c>
      <c r="Y63" s="14" t="n">
        <v>6</v>
      </c>
      <c r="Z63" s="15" t="n">
        <v>0</v>
      </c>
      <c r="AA63" s="15" t="n">
        <v>0</v>
      </c>
      <c r="AB63" s="16">
        <f>IF(E63=0,0,E63*VLOOKUP("Backend-разработчик",'Ставки профессий'!$A:$B,2,FALSE))+IF(Y63=0,0,Y63*VLOOKUP("Специалист ИБ",'Ставки профессий'!$A:$B,2,FALSE))</f>
        <v/>
      </c>
    </row>
    <row r="64">
      <c r="A64" s="12" t="inlineStr">
        <is>
          <t>3.4.3</t>
        </is>
      </c>
      <c r="B64" s="13" t="inlineStr">
        <is>
          <t xml:space="preserve">    Проверка и фиксация результата</t>
        </is>
      </c>
      <c r="C64" s="14" t="inlineStr"/>
      <c r="D64" s="15" t="n">
        <v>0</v>
      </c>
      <c r="E64" s="14" t="n">
        <v>2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4" t="n">
        <v>2</v>
      </c>
      <c r="Z64" s="15" t="n">
        <v>0</v>
      </c>
      <c r="AA64" s="15" t="n">
        <v>0</v>
      </c>
      <c r="AB64" s="16">
        <f>IF(E64=0,0,E64*VLOOKUP("Backend-разработчик",'Ставки профессий'!$A:$B,2,FALSE))+IF(Y64=0,0,Y64*VLOOKUP("Специалист ИБ",'Ставки профессий'!$A:$B,2,FALSE))</f>
        <v/>
      </c>
    </row>
    <row r="65">
      <c r="A65" s="7" t="inlineStr">
        <is>
          <t>3.5</t>
        </is>
      </c>
      <c r="B65" s="8" t="inlineStr">
        <is>
          <t xml:space="preserve">  Разработка интеграционных модулей</t>
        </is>
      </c>
      <c r="C65" s="9" t="inlineStr">
        <is>
          <t>🔄</t>
        </is>
      </c>
      <c r="D65" s="10" t="n">
        <v>0</v>
      </c>
      <c r="E65" s="9" t="n">
        <v>30</v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9" t="n">
        <v>30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0</v>
      </c>
      <c r="AB65" s="11">
        <f>IF(E65=0,0,E65*VLOOKUP("Backend-разработчик",'Ставки профессий'!$A:$B,2,FALSE))+IF(V65=0,0,V65*VLOOKUP("Интеграционный разработчик",'Ставки профессий'!$A:$B,2,FALSE))</f>
        <v/>
      </c>
    </row>
    <row r="66">
      <c r="A66" s="12" t="inlineStr">
        <is>
          <t>3.5.1</t>
        </is>
      </c>
      <c r="B66" s="13" t="inlineStr">
        <is>
          <t xml:space="preserve">    Подготовка пакета работ</t>
        </is>
      </c>
      <c r="C66" s="14" t="inlineStr"/>
      <c r="D66" s="15" t="n">
        <v>0</v>
      </c>
      <c r="E66" s="14" t="n">
        <v>10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4" t="n">
        <v>10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6">
        <f>IF(E66=0,0,E66*VLOOKUP("Backend-разработчик",'Ставки профессий'!$A:$B,2,FALSE))+IF(V66=0,0,V66*VLOOKUP("Интеграционный разработчик",'Ставки профессий'!$A:$B,2,FALSE))</f>
        <v/>
      </c>
    </row>
    <row r="67">
      <c r="A67" s="12" t="inlineStr">
        <is>
          <t>3.5.2</t>
        </is>
      </c>
      <c r="B67" s="13" t="inlineStr">
        <is>
          <t xml:space="preserve">    Реализация основного объема работ</t>
        </is>
      </c>
      <c r="C67" s="14" t="inlineStr"/>
      <c r="D67" s="15" t="n">
        <v>0</v>
      </c>
      <c r="E67" s="14" t="n">
        <v>12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4" t="n">
        <v>12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6">
        <f>IF(E67=0,0,E67*VLOOKUP("Backend-разработчик",'Ставки профессий'!$A:$B,2,FALSE))+IF(V67=0,0,V67*VLOOKUP("Интеграционный разработчик",'Ставки профессий'!$A:$B,2,FALSE))</f>
        <v/>
      </c>
    </row>
    <row r="68">
      <c r="A68" s="12" t="inlineStr">
        <is>
          <t>3.5.3</t>
        </is>
      </c>
      <c r="B68" s="13" t="inlineStr">
        <is>
          <t xml:space="preserve">    Проверка и фиксация результата</t>
        </is>
      </c>
      <c r="C68" s="14" t="inlineStr"/>
      <c r="D68" s="15" t="n">
        <v>0</v>
      </c>
      <c r="E68" s="14" t="n">
        <v>8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4" t="n">
        <v>8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6">
        <f>IF(E68=0,0,E68*VLOOKUP("Backend-разработчик",'Ставки профессий'!$A:$B,2,FALSE))+IF(V68=0,0,V68*VLOOKUP("Интеграционный разработчик",'Ставки профессий'!$A:$B,2,FALSE))</f>
        <v/>
      </c>
    </row>
    <row r="69">
      <c r="A69" s="7" t="inlineStr">
        <is>
          <t>3.6</t>
        </is>
      </c>
      <c r="B69" s="8" t="inlineStr">
        <is>
          <t xml:space="preserve">  Реализация операционных функций</t>
        </is>
      </c>
      <c r="C69" s="9" t="inlineStr">
        <is>
          <t>🔄</t>
        </is>
      </c>
      <c r="D69" s="10" t="n">
        <v>0</v>
      </c>
      <c r="E69" s="9" t="n">
        <v>43</v>
      </c>
      <c r="F69" s="10" t="n">
        <v>0</v>
      </c>
      <c r="G69" s="9" t="n">
        <v>43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11">
        <f>IF(E69=0,0,E69*VLOOKUP("Backend-разработчик",'Ставки профессий'!$A:$B,2,FALSE))+IF(G69=0,0,G69*VLOOKUP("DevOps",'Ставки профессий'!$A:$B,2,FALSE))</f>
        <v/>
      </c>
    </row>
    <row r="70">
      <c r="A70" s="12" t="inlineStr">
        <is>
          <t>3.6.1</t>
        </is>
      </c>
      <c r="B70" s="13" t="inlineStr">
        <is>
          <t xml:space="preserve">    Разработка модуля ежедневного резервного копирования</t>
        </is>
      </c>
      <c r="C70" s="14" t="inlineStr">
        <is>
          <t>🔄</t>
        </is>
      </c>
      <c r="D70" s="15" t="n">
        <v>0</v>
      </c>
      <c r="E70" s="14" t="n">
        <v>8</v>
      </c>
      <c r="F70" s="15" t="n">
        <v>0</v>
      </c>
      <c r="G70" s="14" t="n">
        <v>8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6">
        <f>IF(E70=0,0,E70*VLOOKUP("Backend-разработчик",'Ставки профессий'!$A:$B,2,FALSE))+IF(G70=0,0,G70*VLOOKUP("DevOps",'Ставки профессий'!$A:$B,2,FALSE))</f>
        <v/>
      </c>
    </row>
    <row r="71">
      <c r="A71" s="12" t="inlineStr">
        <is>
          <t>3.6.2</t>
        </is>
      </c>
      <c r="B71" s="13" t="inlineStr">
        <is>
          <t xml:space="preserve">    Интеграция бэкапа перед обновлениями</t>
        </is>
      </c>
      <c r="C71" s="14" t="inlineStr"/>
      <c r="D71" s="15" t="n">
        <v>0</v>
      </c>
      <c r="E71" s="14" t="n">
        <v>6</v>
      </c>
      <c r="F71" s="15" t="n">
        <v>0</v>
      </c>
      <c r="G71" s="14" t="n">
        <v>6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6">
        <f>IF(E71=0,0,E71*VLOOKUP("Backend-разработчик",'Ставки профессий'!$A:$B,2,FALSE))+IF(G71=0,0,G71*VLOOKUP("DevOps",'Ставки профессий'!$A:$B,2,FALSE))</f>
        <v/>
      </c>
    </row>
    <row r="72">
      <c r="A72" s="12" t="inlineStr">
        <is>
          <t>3.6.3</t>
        </is>
      </c>
      <c r="B72" s="13" t="inlineStr">
        <is>
          <t xml:space="preserve">    Разработка службы уведомлений о регламентных работах</t>
        </is>
      </c>
      <c r="C72" s="14" t="inlineStr">
        <is>
          <t>🔄</t>
        </is>
      </c>
      <c r="D72" s="15" t="n">
        <v>0</v>
      </c>
      <c r="E72" s="14" t="n">
        <v>16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6">
        <f>IF(E72=0,0,E72*VLOOKUP("Backend-разработчик",'Ставки профессий'!$A:$B,2,FALSE))</f>
        <v/>
      </c>
    </row>
    <row r="73">
      <c r="A73" s="12" t="inlineStr">
        <is>
          <t>3.6.4</t>
        </is>
      </c>
      <c r="B73" s="13" t="inlineStr">
        <is>
          <t xml:space="preserve">    Реализация асинхронного доступа к данным</t>
        </is>
      </c>
      <c r="C73" s="14" t="inlineStr">
        <is>
          <t>🔄</t>
        </is>
      </c>
      <c r="D73" s="15" t="n">
        <v>0</v>
      </c>
      <c r="E73" s="14" t="n">
        <v>24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6">
        <f>IF(E73=0,0,E73*VLOOKUP("Backend-разработчик",'Ставки профессий'!$A:$B,2,FALSE))</f>
        <v/>
      </c>
    </row>
    <row r="74">
      <c r="A74" s="12" t="inlineStr">
        <is>
          <t>3.6.5</t>
        </is>
      </c>
      <c r="B74" s="13" t="inlineStr">
        <is>
          <t xml:space="preserve">    Тестирование операционных функций</t>
        </is>
      </c>
      <c r="C74" s="14" t="inlineStr"/>
      <c r="D74" s="15" t="n">
        <v>0</v>
      </c>
      <c r="E74" s="14" t="n">
        <v>18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6">
        <f>IF(E74=0,0,E74*VLOOKUP("Backend-разработчик",'Ставки профессий'!$A:$B,2,FALSE))</f>
        <v/>
      </c>
    </row>
    <row r="75">
      <c r="A75" s="2" t="inlineStr">
        <is>
          <t>4</t>
        </is>
      </c>
      <c r="B75" s="3" t="inlineStr">
        <is>
          <t>Тестирование</t>
        </is>
      </c>
      <c r="C75" s="4" t="inlineStr"/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6" t="n">
        <v>0</v>
      </c>
    </row>
    <row r="76">
      <c r="A76" s="7" t="inlineStr">
        <is>
          <t>4.1</t>
        </is>
      </c>
      <c r="B76" s="8" t="inlineStr">
        <is>
          <t xml:space="preserve">  Функциональное тестирование</t>
        </is>
      </c>
      <c r="C76" s="9" t="inlineStr"/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9" t="n">
        <v>31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9" t="n">
        <v>31</v>
      </c>
      <c r="AA76" s="10" t="n">
        <v>0</v>
      </c>
      <c r="AB76" s="11">
        <f>IF(J76=0,0,J76*VLOOKUP("QA-инженер",'Ставки профессий'!$A:$B,2,FALSE))+IF(Z76=0,0,Z76*VLOOKUP("Тестировщик",'Ставки профессий'!$A:$B,2,FALSE))</f>
        <v/>
      </c>
    </row>
    <row r="77">
      <c r="A77" s="12" t="inlineStr">
        <is>
          <t>4.1.1</t>
        </is>
      </c>
      <c r="B77" s="13" t="inlineStr">
        <is>
          <t xml:space="preserve">    Разработка тест-кейсов и сценариев</t>
        </is>
      </c>
      <c r="C77" s="14" t="inlineStr"/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4" t="n">
        <v>12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6">
        <f>IF(J77=0,0,J77*VLOOKUP("QA-инженер",'Ставки профессий'!$A:$B,2,FALSE))</f>
        <v/>
      </c>
    </row>
    <row r="78">
      <c r="A78" s="12" t="inlineStr">
        <is>
          <t>4.1.2</t>
        </is>
      </c>
      <c r="B78" s="13" t="inlineStr">
        <is>
          <t xml:space="preserve">    Подготовка тестовых данных</t>
        </is>
      </c>
      <c r="C78" s="14" t="inlineStr"/>
      <c r="D78" s="15" t="n">
        <v>0</v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4" t="n">
        <v>12</v>
      </c>
      <c r="AA78" s="15" t="n">
        <v>0</v>
      </c>
      <c r="AB78" s="16">
        <f>IF(Z78=0,0,Z78*VLOOKUP("Тестировщик",'Ставки профессий'!$A:$B,2,FALSE))</f>
        <v/>
      </c>
    </row>
    <row r="79">
      <c r="A79" s="12" t="inlineStr">
        <is>
          <t>4.1.3</t>
        </is>
      </c>
      <c r="B79" s="13" t="inlineStr">
        <is>
          <t xml:space="preserve">    Выполнение функциональных тестов</t>
        </is>
      </c>
      <c r="C79" s="14" t="inlineStr"/>
      <c r="D79" s="15" t="n">
        <v>0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4" t="n">
        <v>8</v>
      </c>
      <c r="K79" s="15" t="n">
        <v>0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0</v>
      </c>
      <c r="W79" s="15" t="n">
        <v>0</v>
      </c>
      <c r="X79" s="15" t="n">
        <v>0</v>
      </c>
      <c r="Y79" s="15" t="n">
        <v>0</v>
      </c>
      <c r="Z79" s="14" t="n">
        <v>8</v>
      </c>
      <c r="AA79" s="15" t="n">
        <v>0</v>
      </c>
      <c r="AB79" s="16">
        <f>IF(J79=0,0,J79*VLOOKUP("QA-инженер",'Ставки профессий'!$A:$B,2,FALSE))+IF(Z79=0,0,Z79*VLOOKUP("Тестировщик",'Ставки профессий'!$A:$B,2,FALSE))</f>
        <v/>
      </c>
    </row>
    <row r="80">
      <c r="A80" s="12" t="inlineStr">
        <is>
          <t>4.1.4</t>
        </is>
      </c>
      <c r="B80" s="13" t="inlineStr">
        <is>
          <t xml:space="preserve">    Формирование протоколов испытаний</t>
        </is>
      </c>
      <c r="C80" s="14" t="inlineStr"/>
      <c r="D80" s="15" t="n">
        <v>0</v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14" t="n">
        <v>14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6">
        <f>IF(J80=0,0,J80*VLOOKUP("QA-инженер",'Ставки профессий'!$A:$B,2,FALSE))</f>
        <v/>
      </c>
    </row>
    <row r="81">
      <c r="A81" s="12" t="inlineStr">
        <is>
          <t>4.1.5</t>
        </is>
      </c>
      <c r="B81" s="13" t="inlineStr">
        <is>
          <t xml:space="preserve">    Составление отчетов о тестировании</t>
        </is>
      </c>
      <c r="C81" s="14" t="inlineStr"/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4" t="n">
        <v>8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6">
        <f>IF(J81=0,0,J81*VLOOKUP("QA-инженер",'Ставки профессий'!$A:$B,2,FALSE))</f>
        <v/>
      </c>
    </row>
    <row r="82">
      <c r="A82" s="7" t="inlineStr">
        <is>
          <t>4.2</t>
        </is>
      </c>
      <c r="B82" s="8" t="inlineStr">
        <is>
          <t xml:space="preserve">  Нагрузочное и производственное тестирование</t>
        </is>
      </c>
      <c r="C82" s="9" t="inlineStr">
        <is>
          <t>🔄</t>
        </is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0</v>
      </c>
      <c r="I82" s="9" t="n">
        <v>10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9" t="n">
        <v>10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1">
        <f>IF(I82=0,0,I82*VLOOKUP("Performance Engineer",'Ставки профессий'!$A:$B,2,FALSE))+IF(S82=0,0,S82*VLOOKUP("Инженер по нагрузке",'Ставки профессий'!$A:$B,2,FALSE))</f>
        <v/>
      </c>
    </row>
    <row r="83">
      <c r="A83" s="12" t="inlineStr">
        <is>
          <t>4.2.1</t>
        </is>
      </c>
      <c r="B83" s="13" t="inlineStr">
        <is>
          <t xml:space="preserve">    Подготовка пакета работ</t>
        </is>
      </c>
      <c r="C83" s="14" t="inlineStr"/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4" t="n">
        <v>2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4" t="n">
        <v>2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6">
        <f>IF(I83=0,0,I83*VLOOKUP("Performance Engineer",'Ставки профессий'!$A:$B,2,FALSE))+IF(S83=0,0,S83*VLOOKUP("Инженер по нагрузке",'Ставки профессий'!$A:$B,2,FALSE))</f>
        <v/>
      </c>
    </row>
    <row r="84">
      <c r="A84" s="12" t="inlineStr">
        <is>
          <t>4.2.2</t>
        </is>
      </c>
      <c r="B84" s="13" t="inlineStr">
        <is>
          <t xml:space="preserve">    Реализация основного объема работ</t>
        </is>
      </c>
      <c r="C84" s="14" t="inlineStr"/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14" t="n">
        <v>6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4" t="n">
        <v>6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6">
        <f>IF(I84=0,0,I84*VLOOKUP("Performance Engineer",'Ставки профессий'!$A:$B,2,FALSE))+IF(S84=0,0,S84*VLOOKUP("Инженер по нагрузке",'Ставки профессий'!$A:$B,2,FALSE))</f>
        <v/>
      </c>
    </row>
    <row r="85">
      <c r="A85" s="12" t="inlineStr">
        <is>
          <t>4.2.3</t>
        </is>
      </c>
      <c r="B85" s="13" t="inlineStr">
        <is>
          <t xml:space="preserve">    Проверка и фиксация результата</t>
        </is>
      </c>
      <c r="C85" s="14" t="inlineStr"/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4" t="n">
        <v>2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4" t="n">
        <v>2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6">
        <f>IF(I85=0,0,I85*VLOOKUP("Performance Engineer",'Ставки профессий'!$A:$B,2,FALSE))+IF(S85=0,0,S85*VLOOKUP("Инженер по нагрузке",'Ставки профессий'!$A:$B,2,FALSE))</f>
        <v/>
      </c>
    </row>
    <row r="86">
      <c r="A86" s="7" t="inlineStr">
        <is>
          <t>4.3</t>
        </is>
      </c>
      <c r="B86" s="8" t="inlineStr">
        <is>
          <t xml:space="preserve">  Тестирование отказоустойчивости и восстановления</t>
        </is>
      </c>
      <c r="C86" s="9" t="inlineStr">
        <is>
          <t>🔄</t>
        </is>
      </c>
      <c r="D86" s="10" t="n">
        <v>0</v>
      </c>
      <c r="E86" s="10" t="n">
        <v>0</v>
      </c>
      <c r="F86" s="10" t="n">
        <v>0</v>
      </c>
      <c r="G86" s="9" t="n">
        <v>42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9" t="n">
        <v>42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1">
        <f>IF(G86=0,0,G86*VLOOKUP("DevOps",'Ставки профессий'!$A:$B,2,FALSE))+IF(R86=0,0,R86*VLOOKUP("Инженер надежности",'Ставки профессий'!$A:$B,2,FALSE))</f>
        <v/>
      </c>
    </row>
    <row r="87">
      <c r="A87" s="12" t="inlineStr">
        <is>
          <t>4.3.1</t>
        </is>
      </c>
      <c r="B87" s="13" t="inlineStr">
        <is>
          <t xml:space="preserve">    Разработка сценариев DR-тестирования</t>
        </is>
      </c>
      <c r="C87" s="14" t="inlineStr">
        <is>
          <t>🔄</t>
        </is>
      </c>
      <c r="D87" s="15" t="n">
        <v>0</v>
      </c>
      <c r="E87" s="15" t="n">
        <v>0</v>
      </c>
      <c r="F87" s="15" t="n">
        <v>0</v>
      </c>
      <c r="G87" s="14" t="n">
        <v>6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4" t="n">
        <v>6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6">
        <f>IF(G87=0,0,G87*VLOOKUP("DevOps",'Ставки профессий'!$A:$B,2,FALSE))+IF(R87=0,0,R87*VLOOKUP("Инженер надежности",'Ставки профессий'!$A:$B,2,FALSE))</f>
        <v/>
      </c>
    </row>
    <row r="88">
      <c r="A88" s="12" t="inlineStr">
        <is>
          <t>4.3.2</t>
        </is>
      </c>
      <c r="B88" s="13" t="inlineStr">
        <is>
          <t xml:space="preserve">    Подготовка тестовой среды для failover-тестов</t>
        </is>
      </c>
      <c r="C88" s="14" t="inlineStr">
        <is>
          <t>🔄</t>
        </is>
      </c>
      <c r="D88" s="15" t="n">
        <v>0</v>
      </c>
      <c r="E88" s="15" t="n">
        <v>0</v>
      </c>
      <c r="F88" s="15" t="n">
        <v>0</v>
      </c>
      <c r="G88" s="14" t="n">
        <v>16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0</v>
      </c>
      <c r="N88" s="15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6">
        <f>IF(G88=0,0,G88*VLOOKUP("DevOps",'Ставки профессий'!$A:$B,2,FALSE))</f>
        <v/>
      </c>
    </row>
    <row r="89">
      <c r="A89" s="12" t="inlineStr">
        <is>
          <t>4.3.3</t>
        </is>
      </c>
      <c r="B89" s="13" t="inlineStr">
        <is>
          <t xml:space="preserve">    Тестирование восстановления критичных компонентов</t>
        </is>
      </c>
      <c r="C89" s="14" t="inlineStr"/>
      <c r="D89" s="15" t="n">
        <v>0</v>
      </c>
      <c r="E89" s="15" t="n">
        <v>0</v>
      </c>
      <c r="F89" s="15" t="n">
        <v>0</v>
      </c>
      <c r="G89" s="14" t="n">
        <v>12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4" t="n">
        <v>12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6">
        <f>IF(G89=0,0,G89*VLOOKUP("DevOps",'Ставки профессий'!$A:$B,2,FALSE))+IF(R89=0,0,R89*VLOOKUP("Инженер надежности",'Ставки профессий'!$A:$B,2,FALSE))</f>
        <v/>
      </c>
    </row>
    <row r="90">
      <c r="A90" s="12" t="inlineStr">
        <is>
          <t>4.3.4</t>
        </is>
      </c>
      <c r="B90" s="13" t="inlineStr">
        <is>
          <t xml:space="preserve">    Тестирование катастрофоустойчивости при отказе ЦОД</t>
        </is>
      </c>
      <c r="C90" s="14" t="inlineStr"/>
      <c r="D90" s="15" t="n">
        <v>0</v>
      </c>
      <c r="E90" s="15" t="n">
        <v>0</v>
      </c>
      <c r="F90" s="15" t="n">
        <v>0</v>
      </c>
      <c r="G90" s="14" t="n">
        <v>10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15" t="n">
        <v>0</v>
      </c>
      <c r="P90" s="15" t="n">
        <v>0</v>
      </c>
      <c r="Q90" s="15" t="n">
        <v>0</v>
      </c>
      <c r="R90" s="14" t="n">
        <v>10</v>
      </c>
      <c r="S90" s="15" t="n">
        <v>0</v>
      </c>
      <c r="T90" s="15" t="n">
        <v>0</v>
      </c>
      <c r="U90" s="15" t="n">
        <v>0</v>
      </c>
      <c r="V90" s="15" t="n">
        <v>0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6">
        <f>IF(G90=0,0,G90*VLOOKUP("DevOps",'Ставки профессий'!$A:$B,2,FALSE))+IF(R90=0,0,R90*VLOOKUP("Инженер надежности",'Ставки профессий'!$A:$B,2,FALSE))</f>
        <v/>
      </c>
    </row>
    <row r="91">
      <c r="A91" s="12" t="inlineStr">
        <is>
          <t>4.3.5</t>
        </is>
      </c>
      <c r="B91" s="13" t="inlineStr">
        <is>
          <t xml:space="preserve">    Документирование плана восстановления и протоколов DR-тестов</t>
        </is>
      </c>
      <c r="C91" s="14" t="inlineStr"/>
      <c r="D91" s="15" t="n">
        <v>0</v>
      </c>
      <c r="E91" s="15" t="n">
        <v>0</v>
      </c>
      <c r="F91" s="15" t="n">
        <v>0</v>
      </c>
      <c r="G91" s="14" t="n">
        <v>6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4" t="n">
        <v>6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6">
        <f>IF(G91=0,0,G91*VLOOKUP("DevOps",'Ставки профессий'!$A:$B,2,FALSE))+IF(R91=0,0,R91*VLOOKUP("Инженер надежности",'Ставки профессий'!$A:$B,2,FALSE))</f>
        <v/>
      </c>
    </row>
    <row r="92">
      <c r="A92" s="7" t="inlineStr">
        <is>
          <t>4.4</t>
        </is>
      </c>
      <c r="B92" s="8" t="inlineStr">
        <is>
          <t xml:space="preserve">  Тестирование безопасности</t>
        </is>
      </c>
      <c r="C92" s="9" t="inlineStr">
        <is>
          <t>🔄</t>
        </is>
      </c>
      <c r="D92" s="10" t="n">
        <v>0</v>
      </c>
      <c r="E92" s="10" t="n">
        <v>0</v>
      </c>
      <c r="F92" s="10" t="n">
        <v>0</v>
      </c>
      <c r="G92" s="10" t="n">
        <v>0</v>
      </c>
      <c r="H92" s="9" t="n">
        <v>34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9" t="n">
        <v>34</v>
      </c>
      <c r="Z92" s="10" t="n">
        <v>0</v>
      </c>
      <c r="AA92" s="10" t="n">
        <v>0</v>
      </c>
      <c r="AB92" s="11">
        <f>IF(H92=0,0,H92*VLOOKUP("Pentester",'Ставки профессий'!$A:$B,2,FALSE))+IF(Y92=0,0,Y92*VLOOKUP("Специалист ИБ",'Ставки профессий'!$A:$B,2,FALSE))</f>
        <v/>
      </c>
    </row>
    <row r="93">
      <c r="A93" s="12" t="inlineStr">
        <is>
          <t>4.4.1</t>
        </is>
      </c>
      <c r="B93" s="13" t="inlineStr">
        <is>
          <t xml:space="preserve">    Анализ уязвимостей аутентификации и авторизации</t>
        </is>
      </c>
      <c r="C93" s="14" t="inlineStr">
        <is>
          <t>🔄</t>
        </is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4" t="n">
        <v>16</v>
      </c>
      <c r="Z93" s="15" t="n">
        <v>0</v>
      </c>
      <c r="AA93" s="15" t="n">
        <v>0</v>
      </c>
      <c r="AB93" s="16">
        <f>IF(Y93=0,0,Y93*VLOOKUP("Специалист ИБ",'Ставки профессий'!$A:$B,2,FALSE))</f>
        <v/>
      </c>
    </row>
    <row r="94">
      <c r="A94" s="12" t="inlineStr">
        <is>
          <t>4.4.2</t>
        </is>
      </c>
      <c r="B94" s="13" t="inlineStr">
        <is>
          <t xml:space="preserve">    Тестирование корректности категоризации данных</t>
        </is>
      </c>
      <c r="C94" s="14" t="inlineStr"/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4" t="n">
        <v>16</v>
      </c>
      <c r="Z94" s="15" t="n">
        <v>0</v>
      </c>
      <c r="AA94" s="15" t="n">
        <v>0</v>
      </c>
      <c r="AB94" s="16">
        <f>IF(Y94=0,0,Y94*VLOOKUP("Специалист ИБ",'Ставки профессий'!$A:$B,2,FALSE))</f>
        <v/>
      </c>
    </row>
    <row r="95">
      <c r="A95" s="12" t="inlineStr">
        <is>
          <t>4.4.3</t>
        </is>
      </c>
      <c r="B95" s="13" t="inlineStr">
        <is>
          <t xml:space="preserve">    Проверка политик гранулированного доступа</t>
        </is>
      </c>
      <c r="C95" s="14" t="inlineStr">
        <is>
          <t>🔄</t>
        </is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4" t="n">
        <v>12</v>
      </c>
      <c r="Z95" s="15" t="n">
        <v>0</v>
      </c>
      <c r="AA95" s="15" t="n">
        <v>0</v>
      </c>
      <c r="AB95" s="16">
        <f>IF(Y95=0,0,Y95*VLOOKUP("Специалист ИБ",'Ставки профессий'!$A:$B,2,FALSE))</f>
        <v/>
      </c>
    </row>
    <row r="96">
      <c r="A96" s="12" t="inlineStr">
        <is>
          <t>4.4.4</t>
        </is>
      </c>
      <c r="B96" s="13" t="inlineStr">
        <is>
          <t xml:space="preserve">    Пентестинг API и периметра системы</t>
        </is>
      </c>
      <c r="C96" s="14" t="inlineStr">
        <is>
          <t>🔄</t>
        </is>
      </c>
      <c r="D96" s="15" t="n">
        <v>0</v>
      </c>
      <c r="E96" s="15" t="n">
        <v>0</v>
      </c>
      <c r="F96" s="15" t="n">
        <v>0</v>
      </c>
      <c r="G96" s="15" t="n">
        <v>0</v>
      </c>
      <c r="H96" s="14" t="n">
        <v>16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0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6">
        <f>IF(H96=0,0,H96*VLOOKUP("Pentester",'Ставки профессий'!$A:$B,2,FALSE))</f>
        <v/>
      </c>
    </row>
    <row r="97">
      <c r="A97" s="12" t="inlineStr">
        <is>
          <t>4.4.5</t>
        </is>
      </c>
      <c r="B97" s="13" t="inlineStr">
        <is>
          <t xml:space="preserve">    Аудит системы логирования действий пользователей</t>
        </is>
      </c>
      <c r="C97" s="14" t="inlineStr">
        <is>
          <t>🔄</t>
        </is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4" t="n">
        <v>8</v>
      </c>
      <c r="Z97" s="15" t="n">
        <v>0</v>
      </c>
      <c r="AA97" s="15" t="n">
        <v>0</v>
      </c>
      <c r="AB97" s="16">
        <f>IF(Y97=0,0,Y97*VLOOKUP("Специалист ИБ",'Ставки профессий'!$A:$B,2,FALSE))</f>
        <v/>
      </c>
    </row>
    <row r="98">
      <c r="A98" s="2" t="inlineStr">
        <is>
          <t>5</t>
        </is>
      </c>
      <c r="B98" s="3" t="inlineStr">
        <is>
          <t>Развертывание</t>
        </is>
      </c>
      <c r="C98" s="4" t="inlineStr"/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6" t="n">
        <v>0</v>
      </c>
    </row>
    <row r="99">
      <c r="A99" s="7" t="inlineStr">
        <is>
          <t>5.1</t>
        </is>
      </c>
      <c r="B99" s="8" t="inlineStr">
        <is>
          <t xml:space="preserve">  Развертывание инфраструктуры</t>
        </is>
      </c>
      <c r="C99" s="9" t="inlineStr"/>
      <c r="D99" s="10" t="n">
        <v>0</v>
      </c>
      <c r="E99" s="10" t="n">
        <v>0</v>
      </c>
      <c r="F99" s="10" t="n">
        <v>0</v>
      </c>
      <c r="G99" s="9" t="n">
        <v>22.7</v>
      </c>
      <c r="H99" s="10" t="n">
        <v>0</v>
      </c>
      <c r="I99" s="10" t="n">
        <v>0</v>
      </c>
      <c r="J99" s="10" t="n">
        <v>0</v>
      </c>
      <c r="K99" s="9" t="n">
        <v>22.7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9" t="n">
        <v>22.7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1">
        <f>IF(G99=0,0,G99*VLOOKUP("DevOps",'Ставки профессий'!$A:$B,2,FALSE))+IF(K99=0,0,K99*VLOOKUP("Администратор БД",'Ставки профессий'!$A:$B,2,FALSE))+IF(Q99=0,0,Q99*VLOOKUP("Инженер инфраструктуры",'Ставки профессий'!$A:$B,2,FALSE))</f>
        <v/>
      </c>
    </row>
    <row r="100">
      <c r="A100" s="12" t="inlineStr">
        <is>
          <t>5.1.1</t>
        </is>
      </c>
      <c r="B100" s="13" t="inlineStr">
        <is>
          <t xml:space="preserve">    Подготовка серверной инфраструктуры</t>
        </is>
      </c>
      <c r="C100" s="14" t="inlineStr"/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4" t="n">
        <v>12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6">
        <f>IF(Q100=0,0,Q100*VLOOKUP("Инженер инфраструктуры",'Ставки профессий'!$A:$B,2,FALSE))</f>
        <v/>
      </c>
    </row>
    <row r="101">
      <c r="A101" s="12" t="inlineStr">
        <is>
          <t>5.1.2</t>
        </is>
      </c>
      <c r="B101" s="13" t="inlineStr">
        <is>
          <t xml:space="preserve">    Развертывание ADQM</t>
        </is>
      </c>
      <c r="C101" s="14" t="inlineStr"/>
      <c r="D101" s="15" t="n">
        <v>0</v>
      </c>
      <c r="E101" s="15" t="n">
        <v>0</v>
      </c>
      <c r="F101" s="15" t="n">
        <v>0</v>
      </c>
      <c r="G101" s="14" t="n">
        <v>8</v>
      </c>
      <c r="H101" s="15" t="n">
        <v>0</v>
      </c>
      <c r="I101" s="15" t="n">
        <v>0</v>
      </c>
      <c r="J101" s="15" t="n">
        <v>0</v>
      </c>
      <c r="K101" s="14" t="n">
        <v>8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6">
        <f>IF(G101=0,0,G101*VLOOKUP("DevOps",'Ставки профессий'!$A:$B,2,FALSE))+IF(K101=0,0,K101*VLOOKUP("Администратор БД",'Ставки профессий'!$A:$B,2,FALSE))</f>
        <v/>
      </c>
    </row>
    <row r="102">
      <c r="A102" s="12" t="inlineStr">
        <is>
          <t>5.1.3</t>
        </is>
      </c>
      <c r="B102" s="13" t="inlineStr">
        <is>
          <t xml:space="preserve">    Развертывание Postgres Pro</t>
        </is>
      </c>
      <c r="C102" s="14" t="inlineStr">
        <is>
          <t>🔄</t>
        </is>
      </c>
      <c r="D102" s="15" t="n">
        <v>0</v>
      </c>
      <c r="E102" s="15" t="n">
        <v>0</v>
      </c>
      <c r="F102" s="15" t="n">
        <v>0</v>
      </c>
      <c r="G102" s="14" t="n">
        <v>8</v>
      </c>
      <c r="H102" s="15" t="n">
        <v>0</v>
      </c>
      <c r="I102" s="15" t="n">
        <v>0</v>
      </c>
      <c r="J102" s="15" t="n">
        <v>0</v>
      </c>
      <c r="K102" s="14" t="n">
        <v>8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6">
        <f>IF(G102=0,0,G102*VLOOKUP("DevOps",'Ставки профессий'!$A:$B,2,FALSE))+IF(K102=0,0,K102*VLOOKUP("Администратор БД",'Ставки профессий'!$A:$B,2,FALSE))</f>
        <v/>
      </c>
    </row>
    <row r="103">
      <c r="A103" s="12" t="inlineStr">
        <is>
          <t>5.1.4</t>
        </is>
      </c>
      <c r="B103" s="13" t="inlineStr">
        <is>
          <t xml:space="preserve">    Настройка репликации и резервного копирования</t>
        </is>
      </c>
      <c r="C103" s="14" t="inlineStr"/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4" t="n">
        <v>14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6">
        <f>IF(K103=0,0,K103*VLOOKUP("Администратор БД",'Ставки профессий'!$A:$B,2,FALSE))</f>
        <v/>
      </c>
    </row>
    <row r="104">
      <c r="A104" s="12" t="inlineStr">
        <is>
          <t>5.1.5</t>
        </is>
      </c>
      <c r="B104" s="13" t="inlineStr">
        <is>
          <t xml:space="preserve">    Настройка мониторинга и проверка отказоустойчивости</t>
        </is>
      </c>
      <c r="C104" s="14" t="inlineStr"/>
      <c r="D104" s="15" t="n">
        <v>0</v>
      </c>
      <c r="E104" s="15" t="n">
        <v>0</v>
      </c>
      <c r="F104" s="15" t="n">
        <v>0</v>
      </c>
      <c r="G104" s="14" t="n">
        <v>5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4" t="n">
        <v>5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6">
        <f>IF(G104=0,0,G104*VLOOKUP("DevOps",'Ставки профессий'!$A:$B,2,FALSE))+IF(Q104=0,0,Q104*VLOOKUP("Инженер инфраструктуры",'Ставки профессий'!$A:$B,2,FALSE))</f>
        <v/>
      </c>
    </row>
    <row r="105">
      <c r="A105" s="7" t="inlineStr">
        <is>
          <t>5.2</t>
        </is>
      </c>
      <c r="B105" s="8" t="inlineStr">
        <is>
          <t xml:space="preserve">  Развертывание в зоне постоянной эксплуатации</t>
        </is>
      </c>
      <c r="C105" s="9" t="inlineStr"/>
      <c r="D105" s="10" t="n">
        <v>0</v>
      </c>
      <c r="E105" s="10" t="n">
        <v>0</v>
      </c>
      <c r="F105" s="10" t="n">
        <v>0</v>
      </c>
      <c r="G105" s="9" t="n">
        <v>25.7</v>
      </c>
      <c r="H105" s="10" t="n">
        <v>0</v>
      </c>
      <c r="I105" s="10" t="n">
        <v>0</v>
      </c>
      <c r="J105" s="10" t="n">
        <v>0</v>
      </c>
      <c r="K105" s="9" t="n">
        <v>25.7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9" t="n">
        <v>25.7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1">
        <f>IF(G105=0,0,G105*VLOOKUP("DevOps",'Ставки профессий'!$A:$B,2,FALSE))+IF(K105=0,0,K105*VLOOKUP("Администратор БД",'Ставки профессий'!$A:$B,2,FALSE))+IF(T105=0,0,T105*VLOOKUP("Инженер развертывания",'Ставки профессий'!$A:$B,2,FALSE))</f>
        <v/>
      </c>
    </row>
    <row r="106">
      <c r="A106" s="12" t="inlineStr">
        <is>
          <t>5.2.1</t>
        </is>
      </c>
      <c r="B106" s="13" t="inlineStr">
        <is>
          <t xml:space="preserve">    Разработка плана миграции и процедур отката</t>
        </is>
      </c>
      <c r="C106" s="14" t="inlineStr">
        <is>
          <t>🔄</t>
        </is>
      </c>
      <c r="D106" s="15" t="n">
        <v>0</v>
      </c>
      <c r="E106" s="15" t="n">
        <v>0</v>
      </c>
      <c r="F106" s="15" t="n">
        <v>0</v>
      </c>
      <c r="G106" s="14" t="n">
        <v>4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4" t="n">
        <v>4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6">
        <f>IF(G106=0,0,G106*VLOOKUP("DevOps",'Ставки профессий'!$A:$B,2,FALSE))+IF(T106=0,0,T106*VLOOKUP("Инженер развертывания",'Ставки профессий'!$A:$B,2,FALSE))</f>
        <v/>
      </c>
    </row>
    <row r="107">
      <c r="A107" s="12" t="inlineStr">
        <is>
          <t>5.2.2</t>
        </is>
      </c>
      <c r="B107" s="13" t="inlineStr">
        <is>
          <t xml:space="preserve">    Подготовка и настройка инфраструктуры ЗПЭ</t>
        </is>
      </c>
      <c r="C107" s="14" t="inlineStr">
        <is>
          <t>🔄</t>
        </is>
      </c>
      <c r="D107" s="15" t="n">
        <v>0</v>
      </c>
      <c r="E107" s="15" t="n">
        <v>0</v>
      </c>
      <c r="F107" s="15" t="n">
        <v>0</v>
      </c>
      <c r="G107" s="14" t="n">
        <v>8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4" t="n">
        <v>8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6">
        <f>IF(G107=0,0,G107*VLOOKUP("DevOps",'Ставки профессий'!$A:$B,2,FALSE))+IF(T107=0,0,T107*VLOOKUP("Инженер развертывания",'Ставки профессий'!$A:$B,2,FALSE))</f>
        <v/>
      </c>
    </row>
    <row r="108">
      <c r="A108" s="12" t="inlineStr">
        <is>
          <t>5.2.3</t>
        </is>
      </c>
      <c r="B108" s="13" t="inlineStr">
        <is>
          <t xml:space="preserve">    Настройка репликации БД и резервного копирования</t>
        </is>
      </c>
      <c r="C108" s="14" t="inlineStr"/>
      <c r="D108" s="15" t="n">
        <v>0</v>
      </c>
      <c r="E108" s="15" t="n">
        <v>0</v>
      </c>
      <c r="F108" s="15" t="n">
        <v>0</v>
      </c>
      <c r="G108" s="14" t="n">
        <v>6</v>
      </c>
      <c r="H108" s="15" t="n">
        <v>0</v>
      </c>
      <c r="I108" s="15" t="n">
        <v>0</v>
      </c>
      <c r="J108" s="15" t="n">
        <v>0</v>
      </c>
      <c r="K108" s="14" t="n">
        <v>6</v>
      </c>
      <c r="L108" s="15" t="n">
        <v>0</v>
      </c>
      <c r="M108" s="15" t="n">
        <v>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6">
        <f>IF(G108=0,0,G108*VLOOKUP("DevOps",'Ставки профессий'!$A:$B,2,FALSE))+IF(K108=0,0,K108*VLOOKUP("Администратор БД",'Ставки профессий'!$A:$B,2,FALSE))</f>
        <v/>
      </c>
    </row>
    <row r="109">
      <c r="A109" s="12" t="inlineStr">
        <is>
          <t>5.2.4</t>
        </is>
      </c>
      <c r="B109" s="13" t="inlineStr">
        <is>
          <t xml:space="preserve">    Развертывание приложения в ЗПЭ</t>
        </is>
      </c>
      <c r="C109" s="14" t="inlineStr"/>
      <c r="D109" s="15" t="n">
        <v>0</v>
      </c>
      <c r="E109" s="15" t="n">
        <v>0</v>
      </c>
      <c r="F109" s="15" t="n">
        <v>0</v>
      </c>
      <c r="G109" s="14" t="n">
        <v>6.5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4" t="n">
        <v>6.5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6">
        <f>IF(G109=0,0,G109*VLOOKUP("DevOps",'Ставки профессий'!$A:$B,2,FALSE))+IF(T109=0,0,T109*VLOOKUP("Инженер развертывания",'Ставки профессий'!$A:$B,2,FALSE))</f>
        <v/>
      </c>
    </row>
    <row r="110">
      <c r="A110" s="12" t="inlineStr">
        <is>
          <t>5.2.5</t>
        </is>
      </c>
      <c r="B110" s="13" t="inlineStr">
        <is>
          <t xml:space="preserve">    Настройка катастрофоустойчивости и failover</t>
        </is>
      </c>
      <c r="C110" s="14" t="inlineStr"/>
      <c r="D110" s="15" t="n">
        <v>0</v>
      </c>
      <c r="E110" s="15" t="n">
        <v>0</v>
      </c>
      <c r="F110" s="15" t="n">
        <v>0</v>
      </c>
      <c r="G110" s="14" t="n">
        <v>8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4" t="n">
        <v>8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6">
        <f>IF(G110=0,0,G110*VLOOKUP("DevOps",'Ставки профессий'!$A:$B,2,FALSE))+IF(T110=0,0,T110*VLOOKUP("Инженер развертывания",'Ставки профессий'!$A:$B,2,FALSE))</f>
        <v/>
      </c>
    </row>
    <row r="111">
      <c r="A111" s="12" t="inlineStr">
        <is>
          <t>5.2.6</t>
        </is>
      </c>
      <c r="B111" s="13" t="inlineStr">
        <is>
          <t xml:space="preserve">    Проведение приемочных испытаний развертывания</t>
        </is>
      </c>
      <c r="C111" s="14" t="inlineStr"/>
      <c r="D111" s="15" t="n">
        <v>0</v>
      </c>
      <c r="E111" s="15" t="n">
        <v>0</v>
      </c>
      <c r="F111" s="15" t="n">
        <v>0</v>
      </c>
      <c r="G111" s="14" t="n">
        <v>6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4" t="n">
        <v>6</v>
      </c>
      <c r="U111" s="15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6">
        <f>IF(G111=0,0,G111*VLOOKUP("DevOps",'Ставки профессий'!$A:$B,2,FALSE))+IF(T111=0,0,T111*VLOOKUP("Инженер развертывания",'Ставки профессий'!$A:$B,2,FALSE))</f>
        <v/>
      </c>
    </row>
    <row r="112">
      <c r="A112" s="7" t="inlineStr">
        <is>
          <t>5.3</t>
        </is>
      </c>
      <c r="B112" s="8" t="inlineStr">
        <is>
          <t xml:space="preserve">  Документация и передача</t>
        </is>
      </c>
      <c r="C112" s="9" t="inlineStr">
        <is>
          <t>🔄</t>
        </is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9" t="n">
        <v>46</v>
      </c>
      <c r="X112" s="10" t="n">
        <v>0</v>
      </c>
      <c r="Y112" s="10" t="n">
        <v>0</v>
      </c>
      <c r="Z112" s="10" t="n">
        <v>0</v>
      </c>
      <c r="AA112" s="9" t="n">
        <v>46</v>
      </c>
      <c r="AB112" s="11">
        <f>IF(W112=0,0,W112*VLOOKUP("Проектный менеджер",'Ставки профессий'!$A:$B,2,FALSE))+IF(AA112=0,0,AA112*VLOOKUP("Технический писатель",'Ставки профессий'!$A:$B,2,FALSE))</f>
        <v/>
      </c>
    </row>
    <row r="113">
      <c r="A113" s="12" t="inlineStr">
        <is>
          <t>5.3.1</t>
        </is>
      </c>
      <c r="B113" s="13" t="inlineStr">
        <is>
          <t xml:space="preserve">    Разработка эксплуатационной документации</t>
        </is>
      </c>
      <c r="C113" s="14" t="inlineStr"/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4" t="n">
        <v>24</v>
      </c>
      <c r="AB113" s="16">
        <f>IF(AA113=0,0,AA113*VLOOKUP("Технический писатель",'Ставки профессий'!$A:$B,2,FALSE))</f>
        <v/>
      </c>
    </row>
    <row r="114">
      <c r="A114" s="12" t="inlineStr">
        <is>
          <t>5.3.2</t>
        </is>
      </c>
      <c r="B114" s="13" t="inlineStr">
        <is>
          <t xml:space="preserve">    Документирование процедур восстановления и DR</t>
        </is>
      </c>
      <c r="C114" s="14" t="inlineStr">
        <is>
          <t>🔄</t>
        </is>
      </c>
      <c r="D114" s="15" t="n">
        <v>0</v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4" t="n">
        <v>12</v>
      </c>
      <c r="AB114" s="16">
        <f>IF(AA114=0,0,AA114*VLOOKUP("Технический писатель",'Ставки профессий'!$A:$B,2,FALSE))</f>
        <v/>
      </c>
    </row>
    <row r="115">
      <c r="A115" s="12" t="inlineStr">
        <is>
          <t>5.3.3</t>
        </is>
      </c>
      <c r="B115" s="13" t="inlineStr">
        <is>
          <t xml:space="preserve">    Проведение обучения эксплуатационного персонала</t>
        </is>
      </c>
      <c r="C115" s="14" t="inlineStr"/>
      <c r="D115" s="15" t="n">
        <v>0</v>
      </c>
      <c r="E115" s="15" t="n">
        <v>0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0</v>
      </c>
      <c r="N115" s="15" t="n">
        <v>0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</v>
      </c>
      <c r="W115" s="14" t="n">
        <v>8</v>
      </c>
      <c r="X115" s="15" t="n">
        <v>0</v>
      </c>
      <c r="Y115" s="15" t="n">
        <v>0</v>
      </c>
      <c r="Z115" s="15" t="n">
        <v>0</v>
      </c>
      <c r="AA115" s="14" t="n">
        <v>8</v>
      </c>
      <c r="AB115" s="16">
        <f>IF(W115=0,0,W115*VLOOKUP("Проектный менеджер",'Ставки профессий'!$A:$B,2,FALSE))+IF(AA115=0,0,AA115*VLOOKUP("Технический писатель",'Ставки профессий'!$A:$B,2,FALSE))</f>
        <v/>
      </c>
    </row>
    <row r="116">
      <c r="A116" s="12" t="inlineStr">
        <is>
          <t>5.3.4</t>
        </is>
      </c>
      <c r="B116" s="13" t="inlineStr">
        <is>
          <t xml:space="preserve">    Подготовка и согласование приказа о вводе</t>
        </is>
      </c>
      <c r="C116" s="14" t="inlineStr"/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0</v>
      </c>
      <c r="W116" s="14" t="n">
        <v>24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6">
        <f>IF(W116=0,0,W116*VLOOKUP("Проектный менеджер",'Ставки профессий'!$A:$B,2,FALSE))</f>
        <v/>
      </c>
    </row>
    <row r="117">
      <c r="A117" s="12" t="inlineStr">
        <is>
          <t>5.3.5</t>
        </is>
      </c>
      <c r="B117" s="13" t="inlineStr">
        <is>
          <t xml:space="preserve">    Финальная передача материалов и подписание актов</t>
        </is>
      </c>
      <c r="C117" s="14" t="inlineStr"/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4" t="n">
        <v>16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6">
        <f>IF(W117=0,0,W117*VLOOKUP("Проектный менеджер",'Ставки профессий'!$A:$B,2,FALSE))</f>
        <v/>
      </c>
    </row>
    <row r="119">
      <c r="A119" s="17" t="inlineStr">
        <is>
          <t>ИТОГО</t>
        </is>
      </c>
      <c r="B119" s="18" t="inlineStr"/>
      <c r="C119" s="18" t="inlineStr"/>
      <c r="D119" s="19">
        <f>SUM(D2:D117)</f>
        <v/>
      </c>
      <c r="E119" s="19">
        <f>SUM(E2:E117)</f>
        <v/>
      </c>
      <c r="F119" s="19">
        <f>SUM(F2:F117)</f>
        <v/>
      </c>
      <c r="G119" s="19">
        <f>SUM(G2:G117)</f>
        <v/>
      </c>
      <c r="H119" s="19">
        <f>SUM(H2:H117)</f>
        <v/>
      </c>
      <c r="I119" s="19">
        <f>SUM(I2:I117)</f>
        <v/>
      </c>
      <c r="J119" s="19">
        <f>SUM(J2:J117)</f>
        <v/>
      </c>
      <c r="K119" s="19">
        <f>SUM(K2:K117)</f>
        <v/>
      </c>
      <c r="L119" s="19">
        <f>SUM(L2:L117)</f>
        <v/>
      </c>
      <c r="M119" s="19">
        <f>SUM(M2:M117)</f>
        <v/>
      </c>
      <c r="N119" s="19">
        <f>SUM(N2:N117)</f>
        <v/>
      </c>
      <c r="O119" s="19">
        <f>SUM(O2:O117)</f>
        <v/>
      </c>
      <c r="P119" s="19">
        <f>SUM(P2:P117)</f>
        <v/>
      </c>
      <c r="Q119" s="19">
        <f>SUM(Q2:Q117)</f>
        <v/>
      </c>
      <c r="R119" s="19">
        <f>SUM(R2:R117)</f>
        <v/>
      </c>
      <c r="S119" s="19">
        <f>SUM(S2:S117)</f>
        <v/>
      </c>
      <c r="T119" s="19">
        <f>SUM(T2:T117)</f>
        <v/>
      </c>
      <c r="U119" s="19">
        <f>SUM(U2:U117)</f>
        <v/>
      </c>
      <c r="V119" s="19">
        <f>SUM(V2:V117)</f>
        <v/>
      </c>
      <c r="W119" s="19">
        <f>SUM(W2:W117)</f>
        <v/>
      </c>
      <c r="X119" s="19">
        <f>SUM(X2:X117)</f>
        <v/>
      </c>
      <c r="Y119" s="19">
        <f>SUM(Y2:Y117)</f>
        <v/>
      </c>
      <c r="Z119" s="19">
        <f>SUM(Z2:Z117)</f>
        <v/>
      </c>
      <c r="AA119" s="19">
        <f>SUM(AA2:AA117)</f>
        <v/>
      </c>
      <c r="AB119" s="20">
        <f>SUM(AB2:AB117)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1" t="inlineStr">
        <is>
          <t>Профессия (роль)</t>
        </is>
      </c>
      <c r="B1" s="21" t="inlineStr">
        <is>
          <t>Ставка в час (руб)</t>
        </is>
      </c>
    </row>
    <row r="2">
      <c r="A2" s="22" t="inlineStr">
        <is>
          <t>BI-разработчик</t>
        </is>
      </c>
      <c r="B2" s="23" t="n">
        <v>1000</v>
      </c>
    </row>
    <row r="3">
      <c r="A3" s="22" t="inlineStr">
        <is>
          <t>Backend-разработчик</t>
        </is>
      </c>
      <c r="B3" s="23" t="n">
        <v>1000</v>
      </c>
    </row>
    <row r="4">
      <c r="A4" s="22" t="inlineStr">
        <is>
          <t>Data Engineer</t>
        </is>
      </c>
      <c r="B4" s="23" t="n">
        <v>1000</v>
      </c>
    </row>
    <row r="5">
      <c r="A5" s="22" t="inlineStr">
        <is>
          <t>DevOps</t>
        </is>
      </c>
      <c r="B5" s="23" t="n">
        <v>1000</v>
      </c>
    </row>
    <row r="6">
      <c r="A6" s="22" t="inlineStr">
        <is>
          <t>Pentester</t>
        </is>
      </c>
      <c r="B6" s="23" t="n">
        <v>1000</v>
      </c>
    </row>
    <row r="7">
      <c r="A7" s="22" t="inlineStr">
        <is>
          <t>Performance Engineer</t>
        </is>
      </c>
      <c r="B7" s="23" t="n">
        <v>1000</v>
      </c>
    </row>
    <row r="8">
      <c r="A8" s="22" t="inlineStr">
        <is>
          <t>QA-инженер</t>
        </is>
      </c>
      <c r="B8" s="23" t="n">
        <v>1000</v>
      </c>
    </row>
    <row r="9">
      <c r="A9" s="22" t="inlineStr">
        <is>
          <t>Администратор БД</t>
        </is>
      </c>
      <c r="B9" s="23" t="n">
        <v>1400</v>
      </c>
    </row>
    <row r="10">
      <c r="A10" s="22" t="inlineStr">
        <is>
          <t>Архитектор</t>
        </is>
      </c>
      <c r="B10" s="23" t="n">
        <v>2000</v>
      </c>
    </row>
    <row r="11">
      <c r="A11" s="22" t="inlineStr">
        <is>
          <t>Архитектор ПО</t>
        </is>
      </c>
      <c r="B11" s="23" t="n">
        <v>1000</v>
      </c>
    </row>
    <row r="12">
      <c r="A12" s="22" t="inlineStr">
        <is>
          <t>Архитектор безопасности</t>
        </is>
      </c>
      <c r="B12" s="23" t="n">
        <v>1000</v>
      </c>
    </row>
    <row r="13">
      <c r="A13" s="22" t="inlineStr">
        <is>
          <t>Архитектор данных</t>
        </is>
      </c>
      <c r="B13" s="23" t="n">
        <v>1000</v>
      </c>
    </row>
    <row r="14">
      <c r="A14" s="22" t="inlineStr">
        <is>
          <t>Инженер БД</t>
        </is>
      </c>
      <c r="B14" s="23" t="n">
        <v>1000</v>
      </c>
    </row>
    <row r="15">
      <c r="A15" s="22" t="inlineStr">
        <is>
          <t>Инженер инфраструктуры</t>
        </is>
      </c>
      <c r="B15" s="23" t="n">
        <v>1000</v>
      </c>
    </row>
    <row r="16">
      <c r="A16" s="22" t="inlineStr">
        <is>
          <t>Инженер надежности</t>
        </is>
      </c>
      <c r="B16" s="23" t="n">
        <v>1000</v>
      </c>
    </row>
    <row r="17">
      <c r="A17" s="22" t="inlineStr">
        <is>
          <t>Инженер по нагрузке</t>
        </is>
      </c>
      <c r="B17" s="23" t="n">
        <v>1000</v>
      </c>
    </row>
    <row r="18">
      <c r="A18" s="22" t="inlineStr">
        <is>
          <t>Инженер развертывания</t>
        </is>
      </c>
      <c r="B18" s="23" t="n">
        <v>1000</v>
      </c>
    </row>
    <row r="19">
      <c r="A19" s="22" t="inlineStr">
        <is>
          <t>Интеграционный архитектор</t>
        </is>
      </c>
      <c r="B19" s="23" t="n">
        <v>1000</v>
      </c>
    </row>
    <row r="20">
      <c r="A20" s="22" t="inlineStr">
        <is>
          <t>Интеграционный разработчик</t>
        </is>
      </c>
      <c r="B20" s="23" t="n">
        <v>1000</v>
      </c>
    </row>
    <row r="21">
      <c r="A21" s="22" t="inlineStr">
        <is>
          <t>Проектный менеджер</t>
        </is>
      </c>
      <c r="B21" s="23" t="n">
        <v>1500</v>
      </c>
    </row>
    <row r="22">
      <c r="A22" s="22" t="inlineStr">
        <is>
          <t>Системный аналитик</t>
        </is>
      </c>
      <c r="B22" s="23" t="n">
        <v>1300</v>
      </c>
    </row>
    <row r="23">
      <c r="A23" s="22" t="inlineStr">
        <is>
          <t>Специалист ИБ</t>
        </is>
      </c>
      <c r="B23" s="23" t="n">
        <v>1000</v>
      </c>
    </row>
    <row r="24">
      <c r="A24" s="22" t="inlineStr">
        <is>
          <t>Тестировщик</t>
        </is>
      </c>
      <c r="B24" s="23" t="n">
        <v>800</v>
      </c>
    </row>
    <row r="25">
      <c r="A25" s="22" t="inlineStr">
        <is>
          <t>Технический писатель</t>
        </is>
      </c>
      <c r="B25" s="23" t="n">
        <v>700</v>
      </c>
    </row>
    <row r="26">
      <c r="A26" s="22" t="inlineStr">
        <is>
          <t>DevOps инженер</t>
        </is>
      </c>
      <c r="B26" s="23" t="n">
        <v>1500</v>
      </c>
    </row>
    <row r="27">
      <c r="A27" s="22" t="inlineStr">
        <is>
          <t>Scrum мастер</t>
        </is>
      </c>
      <c r="B27" s="23" t="n">
        <v>1200</v>
      </c>
    </row>
    <row r="28">
      <c r="A28" s="22" t="inlineStr">
        <is>
          <t>UI/UX дизайнер</t>
        </is>
      </c>
      <c r="B28" s="23" t="n">
        <v>1000</v>
      </c>
    </row>
    <row r="29">
      <c r="A29" s="22" t="inlineStr">
        <is>
          <t>Аналитик</t>
        </is>
      </c>
      <c r="B29" s="23" t="n">
        <v>1200</v>
      </c>
    </row>
    <row r="30">
      <c r="A30" s="22" t="inlineStr">
        <is>
          <t>Бизнес-аналитик</t>
        </is>
      </c>
      <c r="B30" s="23" t="n">
        <v>1200</v>
      </c>
    </row>
    <row r="31">
      <c r="A31" s="22" t="inlineStr">
        <is>
          <t>Дизайнер</t>
        </is>
      </c>
      <c r="B31" s="23" t="n">
        <v>1000</v>
      </c>
    </row>
    <row r="32">
      <c r="A32" s="22" t="inlineStr">
        <is>
          <t>Инженер</t>
        </is>
      </c>
      <c r="B32" s="23" t="n">
        <v>1200</v>
      </c>
    </row>
    <row r="33">
      <c r="A33" s="22" t="inlineStr">
        <is>
          <t>Разработчик</t>
        </is>
      </c>
      <c r="B33" s="23" t="n">
        <v>1100</v>
      </c>
    </row>
    <row r="34">
      <c r="A34" s="22" t="inlineStr">
        <is>
          <t>Разработчик (Backend)</t>
        </is>
      </c>
      <c r="B34" s="23" t="n">
        <v>1100</v>
      </c>
    </row>
    <row r="35">
      <c r="A35" s="22" t="inlineStr">
        <is>
          <t>Разработчик (Frontend)</t>
        </is>
      </c>
      <c r="B35" s="23" t="n">
        <v>1000</v>
      </c>
    </row>
    <row r="36">
      <c r="A36" s="22" t="inlineStr">
        <is>
          <t>Разработчик (Full-stack)</t>
        </is>
      </c>
      <c r="B36" s="23" t="n">
        <v>1200</v>
      </c>
    </row>
    <row r="37">
      <c r="A37" s="22" t="inlineStr">
        <is>
          <t>Руководитель проекта</t>
        </is>
      </c>
      <c r="B37" s="23" t="n">
        <v>1800</v>
      </c>
    </row>
    <row r="38">
      <c r="A38" s="22" t="inlineStr">
        <is>
          <t>Тестировщик (QA)</t>
        </is>
      </c>
      <c r="B38" s="23" t="n">
        <v>800</v>
      </c>
    </row>
    <row r="41">
      <c r="A41" s="24" t="inlineStr">
        <is>
          <t>Примечание: Измените ставки на этом листе для автоматического пересчета стоимости на листе WBS.</t>
        </is>
      </c>
    </row>
  </sheetData>
  <mergeCells count="1">
    <mergeCell ref="A41:B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6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</cols>
  <sheetData>
    <row r="1">
      <c r="A1" s="21" t="inlineStr">
        <is>
          <t>ID</t>
        </is>
      </c>
      <c r="B1" s="21" t="inlineStr">
        <is>
          <t>Название работы</t>
        </is>
      </c>
      <c r="C1" s="21" t="inlineStr">
        <is>
          <t>Неделя</t>
        </is>
      </c>
      <c r="D1" s="21" t="inlineStr">
        <is>
          <t>Дней</t>
        </is>
      </c>
      <c r="E1" s="21" t="inlineStr">
        <is>
          <t>W1</t>
        </is>
      </c>
      <c r="F1" s="21" t="inlineStr">
        <is>
          <t>W2</t>
        </is>
      </c>
      <c r="G1" s="21" t="inlineStr">
        <is>
          <t>W3</t>
        </is>
      </c>
      <c r="H1" s="21" t="inlineStr">
        <is>
          <t>W4</t>
        </is>
      </c>
      <c r="I1" s="21" t="inlineStr">
        <is>
          <t>W5</t>
        </is>
      </c>
      <c r="J1" s="21" t="inlineStr">
        <is>
          <t>W6</t>
        </is>
      </c>
      <c r="K1" s="21" t="inlineStr">
        <is>
          <t>W7</t>
        </is>
      </c>
      <c r="L1" s="21" t="inlineStr">
        <is>
          <t>W8</t>
        </is>
      </c>
      <c r="M1" s="21" t="inlineStr">
        <is>
          <t>W9</t>
        </is>
      </c>
      <c r="N1" s="21" t="inlineStr">
        <is>
          <t>W10</t>
        </is>
      </c>
      <c r="O1" s="21" t="inlineStr">
        <is>
          <t>W11</t>
        </is>
      </c>
      <c r="P1" s="21" t="inlineStr">
        <is>
          <t>W12</t>
        </is>
      </c>
      <c r="Q1" s="21" t="inlineStr">
        <is>
          <t>W13</t>
        </is>
      </c>
      <c r="R1" s="21" t="inlineStr">
        <is>
          <t>W14</t>
        </is>
      </c>
      <c r="S1" s="21" t="inlineStr">
        <is>
          <t>W15</t>
        </is>
      </c>
    </row>
    <row r="2">
      <c r="A2" s="2" t="inlineStr">
        <is>
          <t>1</t>
        </is>
      </c>
      <c r="B2" s="25" t="inlineStr">
        <is>
          <t>Планирование и анализ</t>
        </is>
      </c>
      <c r="C2" s="4" t="n">
        <v>1</v>
      </c>
      <c r="D2" s="4" t="n">
        <v>13</v>
      </c>
      <c r="E2" s="26" t="n"/>
      <c r="F2" s="26" t="n"/>
      <c r="G2" s="26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</row>
    <row r="3">
      <c r="A3" s="7" t="inlineStr">
        <is>
          <t>1.1</t>
        </is>
      </c>
      <c r="B3" s="27" t="inlineStr">
        <is>
          <t xml:space="preserve">  Анализ требований и декомпозиция 🔄</t>
        </is>
      </c>
      <c r="C3" s="9" t="n">
        <v>1</v>
      </c>
      <c r="D3" s="9" t="n">
        <v>13</v>
      </c>
      <c r="E3" s="28" t="n"/>
      <c r="F3" s="28" t="n"/>
      <c r="G3" s="28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</row>
    <row r="4">
      <c r="A4" s="7" t="inlineStr">
        <is>
          <t>1.2</t>
        </is>
      </c>
      <c r="B4" s="27" t="inlineStr">
        <is>
          <t xml:space="preserve">  Планирование инфраструктуры и ресурсов 🔄</t>
        </is>
      </c>
      <c r="C4" s="9" t="n">
        <v>1</v>
      </c>
      <c r="D4" s="9" t="n">
        <v>5</v>
      </c>
      <c r="E4" s="28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</row>
    <row r="5">
      <c r="A5" s="12" t="inlineStr">
        <is>
          <t>1.1.1</t>
        </is>
      </c>
      <c r="B5" s="29" t="inlineStr">
        <is>
          <t xml:space="preserve">    Сбор и анализ функциональных требований 🔄</t>
        </is>
      </c>
      <c r="C5" s="14" t="n">
        <v>1</v>
      </c>
      <c r="D5" s="14" t="n">
        <v>2</v>
      </c>
      <c r="E5" s="30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>
      <c r="A6" s="12" t="inlineStr">
        <is>
          <t>1.1.2</t>
        </is>
      </c>
      <c r="B6" s="29" t="inlineStr">
        <is>
          <t xml:space="preserve">    Анализ нефункциональных требований и ограничений 🔄</t>
        </is>
      </c>
      <c r="C6" s="14" t="n">
        <v>1</v>
      </c>
      <c r="D6" s="14" t="n">
        <v>2</v>
      </c>
      <c r="E6" s="30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>
      <c r="A7" s="12" t="inlineStr">
        <is>
          <t>1.1.3</t>
        </is>
      </c>
      <c r="B7" s="29" t="inlineStr">
        <is>
          <t xml:space="preserve">    Формирование структуры ТЗ согласно 644-П 🔄</t>
        </is>
      </c>
      <c r="C7" s="14" t="n">
        <v>1</v>
      </c>
      <c r="D7" s="14" t="n">
        <v>2</v>
      </c>
      <c r="E7" s="30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>
      <c r="A8" s="12" t="inlineStr">
        <is>
          <t>1.2.1</t>
        </is>
      </c>
      <c r="B8" s="29" t="inlineStr">
        <is>
          <t xml:space="preserve">    Анализ требований к инфраструктуре зон развертывания 🔄</t>
        </is>
      </c>
      <c r="C8" s="14" t="n">
        <v>1</v>
      </c>
      <c r="D8" s="14" t="n">
        <v>1</v>
      </c>
      <c r="E8" s="30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>
      <c r="A9" s="12" t="inlineStr">
        <is>
          <t>1.2.4</t>
        </is>
      </c>
      <c r="B9" s="29" t="inlineStr">
        <is>
          <t xml:space="preserve">    Составление карты компетенций поддержки 🔄</t>
        </is>
      </c>
      <c r="C9" s="14" t="n">
        <v>1</v>
      </c>
      <c r="D9" s="14" t="n">
        <v>2</v>
      </c>
      <c r="E9" s="30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>
      <c r="A10" s="12" t="inlineStr">
        <is>
          <t>1.2.2</t>
        </is>
      </c>
      <c r="B10" s="29" t="inlineStr">
        <is>
          <t xml:space="preserve">    Расчет ресурсов для обеспечения RPO/RTO</t>
        </is>
      </c>
      <c r="C10" s="14" t="n">
        <v>1</v>
      </c>
      <c r="D10" s="14" t="n">
        <v>2</v>
      </c>
      <c r="E10" s="18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>
      <c r="A11" s="12" t="inlineStr">
        <is>
          <t>1.1.4</t>
        </is>
      </c>
      <c r="B11" s="29" t="inlineStr">
        <is>
          <t xml:space="preserve">    Разработка разделов ТЗ</t>
        </is>
      </c>
      <c r="C11" s="14" t="n">
        <v>1</v>
      </c>
      <c r="D11" s="14" t="n">
        <v>4</v>
      </c>
      <c r="E11" s="18" t="n"/>
      <c r="F11" s="18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>
      <c r="A12" s="12" t="inlineStr">
        <is>
          <t>1.2.3</t>
        </is>
      </c>
      <c r="B12" s="29" t="inlineStr">
        <is>
          <t xml:space="preserve">    Планирование катастрофоустойчивости</t>
        </is>
      </c>
      <c r="C12" s="14" t="n">
        <v>1</v>
      </c>
      <c r="D12" s="14" t="n">
        <v>1</v>
      </c>
      <c r="E12" s="18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>
      <c r="A13" s="12" t="inlineStr">
        <is>
          <t>1.2.5</t>
        </is>
      </c>
      <c r="B13" s="29" t="inlineStr">
        <is>
          <t xml:space="preserve">    Формирование плана инфраструктуры</t>
        </is>
      </c>
      <c r="C13" s="14" t="n">
        <v>1</v>
      </c>
      <c r="D13" s="14" t="n">
        <v>1</v>
      </c>
      <c r="E13" s="18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>
      <c r="A14" s="12" t="inlineStr">
        <is>
          <t>1.1.5</t>
        </is>
      </c>
      <c r="B14" s="29" t="inlineStr">
        <is>
          <t xml:space="preserve">    Создание матрицы трассировки требований</t>
        </is>
      </c>
      <c r="C14" s="14" t="n">
        <v>2</v>
      </c>
      <c r="D14" s="14" t="n">
        <v>2</v>
      </c>
      <c r="E14" s="22" t="n"/>
      <c r="F14" s="18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</row>
    <row r="15">
      <c r="A15" s="12" t="inlineStr">
        <is>
          <t>1.1.6</t>
        </is>
      </c>
      <c r="B15" s="29" t="inlineStr">
        <is>
          <t xml:space="preserve">    Согласование и финализация ТЗ</t>
        </is>
      </c>
      <c r="C15" s="14" t="n">
        <v>2</v>
      </c>
      <c r="D15" s="14" t="n">
        <v>2</v>
      </c>
      <c r="E15" s="22" t="n"/>
      <c r="F15" s="18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</row>
    <row r="16">
      <c r="A16" s="2" t="inlineStr">
        <is>
          <t>2</t>
        </is>
      </c>
      <c r="B16" s="25" t="inlineStr">
        <is>
          <t>Проектирование</t>
        </is>
      </c>
      <c r="C16" s="4" t="n">
        <v>3</v>
      </c>
      <c r="D16" s="4" t="n">
        <v>15</v>
      </c>
      <c r="E16" s="22" t="n"/>
      <c r="F16" s="22" t="n"/>
      <c r="G16" s="26" t="n"/>
      <c r="H16" s="26" t="n"/>
      <c r="I16" s="26" t="n"/>
      <c r="J16" s="26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</row>
    <row r="17">
      <c r="A17" s="7" t="inlineStr">
        <is>
          <t>2.1</t>
        </is>
      </c>
      <c r="B17" s="27" t="inlineStr">
        <is>
          <t xml:space="preserve">  Архитектурное проектирование</t>
        </is>
      </c>
      <c r="C17" s="9" t="n">
        <v>3</v>
      </c>
      <c r="D17" s="9" t="n">
        <v>10</v>
      </c>
      <c r="E17" s="22" t="n"/>
      <c r="F17" s="22" t="n"/>
      <c r="G17" s="31" t="n"/>
      <c r="H17" s="31" t="n"/>
      <c r="I17" s="31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>
      <c r="A18" s="7" t="inlineStr">
        <is>
          <t>2.2</t>
        </is>
      </c>
      <c r="B18" s="27" t="inlineStr">
        <is>
          <t xml:space="preserve">  Проектирование подсистемы хранения и обработки 🔄</t>
        </is>
      </c>
      <c r="C18" s="9" t="n">
        <v>3</v>
      </c>
      <c r="D18" s="9" t="n">
        <v>15</v>
      </c>
      <c r="E18" s="22" t="n"/>
      <c r="F18" s="22" t="n"/>
      <c r="G18" s="28" t="n"/>
      <c r="H18" s="28" t="n"/>
      <c r="I18" s="28" t="n"/>
      <c r="J18" s="28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>
      <c r="A19" s="7" t="inlineStr">
        <is>
          <t>2.3</t>
        </is>
      </c>
      <c r="B19" s="27" t="inlineStr">
        <is>
          <t xml:space="preserve">  Проектирование безопасности и доступа 🔄</t>
        </is>
      </c>
      <c r="C19" s="9" t="n">
        <v>3</v>
      </c>
      <c r="D19" s="9" t="n">
        <v>13</v>
      </c>
      <c r="E19" s="22" t="n"/>
      <c r="F19" s="22" t="n"/>
      <c r="G19" s="28" t="n"/>
      <c r="H19" s="28" t="n"/>
      <c r="I19" s="28" t="n"/>
      <c r="J19" s="28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>
      <c r="A20" s="7" t="inlineStr">
        <is>
          <t>2.4</t>
        </is>
      </c>
      <c r="B20" s="27" t="inlineStr">
        <is>
          <t xml:space="preserve">  Проектирование интеграций 🔄</t>
        </is>
      </c>
      <c r="C20" s="9" t="n">
        <v>3</v>
      </c>
      <c r="D20" s="9" t="n">
        <v>8</v>
      </c>
      <c r="E20" s="22" t="n"/>
      <c r="F20" s="22" t="n"/>
      <c r="G20" s="28" t="n"/>
      <c r="H20" s="28" t="n"/>
      <c r="I20" s="28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>
      <c r="A21" s="12" t="inlineStr">
        <is>
          <t>2.1.1</t>
        </is>
      </c>
      <c r="B21" s="29" t="inlineStr">
        <is>
          <t xml:space="preserve">    Проектирование трехзвенной архитектуры</t>
        </is>
      </c>
      <c r="C21" s="14" t="n">
        <v>3</v>
      </c>
      <c r="D21" s="14" t="n">
        <v>2</v>
      </c>
      <c r="E21" s="22" t="n"/>
      <c r="F21" s="22" t="n"/>
      <c r="G21" s="18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>
      <c r="A22" s="12" t="inlineStr">
        <is>
          <t>2.2.1</t>
        </is>
      </c>
      <c r="B22" s="29" t="inlineStr">
        <is>
          <t xml:space="preserve">    Проектирование модели Raw Data Vault 🔄</t>
        </is>
      </c>
      <c r="C22" s="14" t="n">
        <v>3</v>
      </c>
      <c r="D22" s="14" t="n">
        <v>3</v>
      </c>
      <c r="E22" s="22" t="n"/>
      <c r="F22" s="22" t="n"/>
      <c r="G22" s="30" t="n"/>
      <c r="H22" s="30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>
      <c r="A23" s="12" t="inlineStr">
        <is>
          <t>2.3.1</t>
        </is>
      </c>
      <c r="B23" s="29" t="inlineStr">
        <is>
          <t xml:space="preserve">    Проектирование модели аутентификации и идентификации 🔄</t>
        </is>
      </c>
      <c r="C23" s="14" t="n">
        <v>3</v>
      </c>
      <c r="D23" s="14" t="n">
        <v>2</v>
      </c>
      <c r="E23" s="22" t="n"/>
      <c r="F23" s="22" t="n"/>
      <c r="G23" s="30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>
      <c r="A24" s="12" t="inlineStr">
        <is>
          <t>2.3.3</t>
        </is>
      </c>
      <c r="B24" s="29" t="inlineStr">
        <is>
          <t xml:space="preserve">    Проектирование системы категоризации данных 🔄</t>
        </is>
      </c>
      <c r="C24" s="14" t="n">
        <v>3</v>
      </c>
      <c r="D24" s="14" t="n">
        <v>2</v>
      </c>
      <c r="E24" s="22" t="n"/>
      <c r="F24" s="22" t="n"/>
      <c r="G24" s="30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>
      <c r="A25" s="12" t="inlineStr">
        <is>
          <t>2.4.1</t>
        </is>
      </c>
      <c r="B25" s="29" t="inlineStr">
        <is>
          <t xml:space="preserve">    Проектирование интеграционной архитектуры 🔄</t>
        </is>
      </c>
      <c r="C25" s="14" t="n">
        <v>3</v>
      </c>
      <c r="D25" s="14" t="n">
        <v>1</v>
      </c>
      <c r="E25" s="22" t="n"/>
      <c r="F25" s="22" t="n"/>
      <c r="G25" s="30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  <row r="26">
      <c r="A26" s="12" t="inlineStr">
        <is>
          <t>2.4.2</t>
        </is>
      </c>
      <c r="B26" s="29" t="inlineStr">
        <is>
          <t xml:space="preserve">    Проектирование интеграции с СУБД и хранилищами данных</t>
        </is>
      </c>
      <c r="C26" s="14" t="n">
        <v>3</v>
      </c>
      <c r="D26" s="14" t="n">
        <v>2</v>
      </c>
      <c r="E26" s="22" t="n"/>
      <c r="F26" s="22" t="n"/>
      <c r="G26" s="18" t="n"/>
      <c r="H26" s="18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</row>
    <row r="27">
      <c r="A27" s="12" t="inlineStr">
        <is>
          <t>2.4.3</t>
        </is>
      </c>
      <c r="B27" s="29" t="inlineStr">
        <is>
          <t xml:space="preserve">    Проектирование интеграции порталов управления 🔄</t>
        </is>
      </c>
      <c r="C27" s="14" t="n">
        <v>3</v>
      </c>
      <c r="D27" s="14" t="n">
        <v>1</v>
      </c>
      <c r="E27" s="22" t="n"/>
      <c r="F27" s="22" t="n"/>
      <c r="G27" s="30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</row>
    <row r="28">
      <c r="A28" s="12" t="inlineStr">
        <is>
          <t>2.4.4</t>
        </is>
      </c>
      <c r="B28" s="29" t="inlineStr">
        <is>
          <t xml:space="preserve">    Проектирование потоков передачи событий ИБ 🔄</t>
        </is>
      </c>
      <c r="C28" s="14" t="n">
        <v>3</v>
      </c>
      <c r="D28" s="14" t="n">
        <v>2</v>
      </c>
      <c r="E28" s="22" t="n"/>
      <c r="F28" s="22" t="n"/>
      <c r="G28" s="30" t="n"/>
      <c r="H28" s="30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</row>
    <row r="29">
      <c r="A29" s="12" t="inlineStr">
        <is>
          <t>2.1.2</t>
        </is>
      </c>
      <c r="B29" s="29" t="inlineStr">
        <is>
          <t xml:space="preserve">    Проектирование многозонового развертывания</t>
        </is>
      </c>
      <c r="C29" s="14" t="n">
        <v>4</v>
      </c>
      <c r="D29" s="14" t="n">
        <v>2</v>
      </c>
      <c r="E29" s="22" t="n"/>
      <c r="F29" s="22" t="n"/>
      <c r="G29" s="22" t="n"/>
      <c r="H29" s="18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</row>
    <row r="30">
      <c r="A30" s="12" t="inlineStr">
        <is>
          <t>2.1.3</t>
        </is>
      </c>
      <c r="B30" s="29" t="inlineStr">
        <is>
          <t xml:space="preserve">    Проектирование схемы катастрофоустойчивости 🔄</t>
        </is>
      </c>
      <c r="C30" s="14" t="n">
        <v>4</v>
      </c>
      <c r="D30" s="14" t="n">
        <v>2</v>
      </c>
      <c r="E30" s="22" t="n"/>
      <c r="F30" s="22" t="n"/>
      <c r="G30" s="22" t="n"/>
      <c r="H30" s="30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</row>
    <row r="31">
      <c r="A31" s="12" t="inlineStr">
        <is>
          <t>2.3.2</t>
        </is>
      </c>
      <c r="B31" s="29" t="inlineStr">
        <is>
          <t xml:space="preserve">    Проектирование ролевой модели и системы авторизации</t>
        </is>
      </c>
      <c r="C31" s="14" t="n">
        <v>4</v>
      </c>
      <c r="D31" s="14" t="n">
        <v>3</v>
      </c>
      <c r="E31" s="22" t="n"/>
      <c r="F31" s="22" t="n"/>
      <c r="G31" s="22" t="n"/>
      <c r="H31" s="18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</row>
    <row r="32">
      <c r="A32" s="12" t="inlineStr">
        <is>
          <t>2.2.2</t>
        </is>
      </c>
      <c r="B32" s="29" t="inlineStr">
        <is>
          <t xml:space="preserve">    Проектирование модели Business Data Vault</t>
        </is>
      </c>
      <c r="C32" s="14" t="n">
        <v>4</v>
      </c>
      <c r="D32" s="14" t="n">
        <v>3</v>
      </c>
      <c r="E32" s="22" t="n"/>
      <c r="F32" s="22" t="n"/>
      <c r="G32" s="22" t="n"/>
      <c r="H32" s="18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</row>
    <row r="33">
      <c r="A33" s="12" t="inlineStr">
        <is>
          <t>2.2.4</t>
        </is>
      </c>
      <c r="B33" s="29" t="inlineStr">
        <is>
          <t xml:space="preserve">    Проектирование ETL-процессов загрузки 🔄</t>
        </is>
      </c>
      <c r="C33" s="14" t="n">
        <v>4</v>
      </c>
      <c r="D33" s="14" t="n">
        <v>4</v>
      </c>
      <c r="E33" s="22" t="n"/>
      <c r="F33" s="22" t="n"/>
      <c r="G33" s="22" t="n"/>
      <c r="H33" s="30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</row>
    <row r="34">
      <c r="A34" s="12" t="inlineStr">
        <is>
          <t>2.4.5</t>
        </is>
      </c>
      <c r="B34" s="29" t="inlineStr">
        <is>
          <t xml:space="preserve">    Разработка API спецификаций</t>
        </is>
      </c>
      <c r="C34" s="14" t="n">
        <v>4</v>
      </c>
      <c r="D34" s="14" t="n">
        <v>3</v>
      </c>
      <c r="E34" s="22" t="n"/>
      <c r="F34" s="22" t="n"/>
      <c r="G34" s="22" t="n"/>
      <c r="H34" s="18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</row>
    <row r="35">
      <c r="A35" s="12" t="inlineStr">
        <is>
          <t>2.1.4</t>
        </is>
      </c>
      <c r="B35" s="29" t="inlineStr">
        <is>
          <t xml:space="preserve">    Разработка стратегии резервного копирования</t>
        </is>
      </c>
      <c r="C35" s="14" t="n">
        <v>4</v>
      </c>
      <c r="D35" s="14" t="n">
        <v>2</v>
      </c>
      <c r="E35" s="22" t="n"/>
      <c r="F35" s="22" t="n"/>
      <c r="G35" s="22" t="n"/>
      <c r="H35" s="18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</row>
    <row r="36">
      <c r="A36" s="12" t="inlineStr">
        <is>
          <t>2.3.4</t>
        </is>
      </c>
      <c r="B36" s="29" t="inlineStr">
        <is>
          <t xml:space="preserve">    Проектирование механизма гранулированного доступа</t>
        </is>
      </c>
      <c r="C36" s="14" t="n">
        <v>4</v>
      </c>
      <c r="D36" s="14" t="n">
        <v>2</v>
      </c>
      <c r="E36" s="22" t="n"/>
      <c r="F36" s="22" t="n"/>
      <c r="G36" s="22" t="n"/>
      <c r="H36" s="18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</row>
    <row r="37">
      <c r="A37" s="12" t="inlineStr">
        <is>
          <t>2.1.5</t>
        </is>
      </c>
      <c r="B37" s="29" t="inlineStr">
        <is>
          <t xml:space="preserve">    Оформление архитектурной документации</t>
        </is>
      </c>
      <c r="C37" s="14" t="n">
        <v>4</v>
      </c>
      <c r="D37" s="14" t="n">
        <v>2</v>
      </c>
      <c r="E37" s="22" t="n"/>
      <c r="F37" s="22" t="n"/>
      <c r="G37" s="22" t="n"/>
      <c r="H37" s="18" t="n"/>
      <c r="I37" s="18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</row>
    <row r="38">
      <c r="A38" s="12" t="inlineStr">
        <is>
          <t>2.2.3</t>
        </is>
      </c>
      <c r="B38" s="29" t="inlineStr">
        <is>
          <t xml:space="preserve">    Проектирование витрин данных</t>
        </is>
      </c>
      <c r="C38" s="14" t="n">
        <v>4</v>
      </c>
      <c r="D38" s="14" t="n">
        <v>2</v>
      </c>
      <c r="E38" s="22" t="n"/>
      <c r="F38" s="22" t="n"/>
      <c r="G38" s="22" t="n"/>
      <c r="H38" s="18" t="n"/>
      <c r="I38" s="18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</row>
    <row r="39">
      <c r="A39" s="12" t="inlineStr">
        <is>
          <t>2.3.5</t>
        </is>
      </c>
      <c r="B39" s="29" t="inlineStr">
        <is>
          <t xml:space="preserve">    Проектирование подсистемы аудита и контроля действий</t>
        </is>
      </c>
      <c r="C39" s="14" t="n">
        <v>5</v>
      </c>
      <c r="D39" s="14" t="n">
        <v>2</v>
      </c>
      <c r="E39" s="22" t="n"/>
      <c r="F39" s="22" t="n"/>
      <c r="G39" s="22" t="n"/>
      <c r="H39" s="22" t="n"/>
      <c r="I39" s="18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</row>
    <row r="40">
      <c r="A40" s="12" t="inlineStr">
        <is>
          <t>2.2.5</t>
        </is>
      </c>
      <c r="B40" s="29" t="inlineStr">
        <is>
          <t xml:space="preserve">    Проектирование стратегии репликации и восстановления</t>
        </is>
      </c>
      <c r="C40" s="14" t="n">
        <v>5</v>
      </c>
      <c r="D40" s="14" t="n">
        <v>3</v>
      </c>
      <c r="E40" s="22" t="n"/>
      <c r="F40" s="22" t="n"/>
      <c r="G40" s="22" t="n"/>
      <c r="H40" s="22" t="n"/>
      <c r="I40" s="18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</row>
    <row r="41">
      <c r="A41" s="12" t="inlineStr">
        <is>
          <t>2.3.6</t>
        </is>
      </c>
      <c r="B41" s="29" t="inlineStr">
        <is>
          <t xml:space="preserve">    Формирование итоговой модели безопасности и политик доступа</t>
        </is>
      </c>
      <c r="C41" s="14" t="n">
        <v>5</v>
      </c>
      <c r="D41" s="14" t="n">
        <v>2</v>
      </c>
      <c r="E41" s="22" t="n"/>
      <c r="F41" s="22" t="n"/>
      <c r="G41" s="22" t="n"/>
      <c r="H41" s="22" t="n"/>
      <c r="I41" s="18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</row>
    <row r="42">
      <c r="A42" s="2" t="inlineStr">
        <is>
          <t>3</t>
        </is>
      </c>
      <c r="B42" s="25" t="inlineStr">
        <is>
          <t>Разработка</t>
        </is>
      </c>
      <c r="C42" s="4" t="n">
        <v>6</v>
      </c>
      <c r="D42" s="4" t="n">
        <v>15</v>
      </c>
      <c r="E42" s="22" t="n"/>
      <c r="F42" s="22" t="n"/>
      <c r="G42" s="22" t="n"/>
      <c r="H42" s="22" t="n"/>
      <c r="I42" s="22" t="n"/>
      <c r="J42" s="26" t="n"/>
      <c r="K42" s="26" t="n"/>
      <c r="L42" s="26" t="n"/>
      <c r="M42" s="26" t="n"/>
      <c r="N42" s="22" t="n"/>
      <c r="O42" s="22" t="n"/>
      <c r="P42" s="22" t="n"/>
      <c r="Q42" s="22" t="n"/>
      <c r="R42" s="22" t="n"/>
      <c r="S42" s="22" t="n"/>
    </row>
    <row r="43">
      <c r="A43" s="7" t="inlineStr">
        <is>
          <t>3.1</t>
        </is>
      </c>
      <c r="B43" s="27" t="inlineStr">
        <is>
          <t xml:space="preserve">  Разработка подсистемы обработки и хранения</t>
        </is>
      </c>
      <c r="C43" s="9" t="n">
        <v>6</v>
      </c>
      <c r="D43" s="9" t="n">
        <v>15</v>
      </c>
      <c r="E43" s="22" t="n"/>
      <c r="F43" s="22" t="n"/>
      <c r="G43" s="22" t="n"/>
      <c r="H43" s="22" t="n"/>
      <c r="I43" s="22" t="n"/>
      <c r="J43" s="31" t="n"/>
      <c r="K43" s="31" t="n"/>
      <c r="L43" s="31" t="n"/>
      <c r="M43" s="31" t="n"/>
      <c r="N43" s="22" t="n"/>
      <c r="O43" s="22" t="n"/>
      <c r="P43" s="22" t="n"/>
      <c r="Q43" s="22" t="n"/>
      <c r="R43" s="22" t="n"/>
      <c r="S43" s="22" t="n"/>
    </row>
    <row r="44">
      <c r="A44" s="7" t="inlineStr">
        <is>
          <t>3.2</t>
        </is>
      </c>
      <c r="B44" s="27" t="inlineStr">
        <is>
          <t xml:space="preserve">  Разработка витрин данных и аналитики 🔄</t>
        </is>
      </c>
      <c r="C44" s="9" t="n">
        <v>6</v>
      </c>
      <c r="D44" s="9" t="n">
        <v>15</v>
      </c>
      <c r="E44" s="22" t="n"/>
      <c r="F44" s="22" t="n"/>
      <c r="G44" s="22" t="n"/>
      <c r="H44" s="22" t="n"/>
      <c r="I44" s="22" t="n"/>
      <c r="J44" s="28" t="n"/>
      <c r="K44" s="28" t="n"/>
      <c r="L44" s="28" t="n"/>
      <c r="M44" s="28" t="n"/>
      <c r="N44" s="22" t="n"/>
      <c r="O44" s="22" t="n"/>
      <c r="P44" s="22" t="n"/>
      <c r="Q44" s="22" t="n"/>
      <c r="R44" s="22" t="n"/>
      <c r="S44" s="22" t="n"/>
    </row>
    <row r="45">
      <c r="A45" s="7" t="inlineStr">
        <is>
          <t>3.3</t>
        </is>
      </c>
      <c r="B45" s="27" t="inlineStr">
        <is>
          <t xml:space="preserve">  Разработка сервисов БД 🔄</t>
        </is>
      </c>
      <c r="C45" s="9" t="n">
        <v>6</v>
      </c>
      <c r="D45" s="9" t="n">
        <v>15</v>
      </c>
      <c r="E45" s="22" t="n"/>
      <c r="F45" s="22" t="n"/>
      <c r="G45" s="22" t="n"/>
      <c r="H45" s="22" t="n"/>
      <c r="I45" s="22" t="n"/>
      <c r="J45" s="28" t="n"/>
      <c r="K45" s="28" t="n"/>
      <c r="L45" s="28" t="n"/>
      <c r="M45" s="28" t="n"/>
      <c r="N45" s="22" t="n"/>
      <c r="O45" s="22" t="n"/>
      <c r="P45" s="22" t="n"/>
      <c r="Q45" s="22" t="n"/>
      <c r="R45" s="22" t="n"/>
      <c r="S45" s="22" t="n"/>
    </row>
    <row r="46">
      <c r="A46" s="7" t="inlineStr">
        <is>
          <t>3.4</t>
        </is>
      </c>
      <c r="B46" s="27" t="inlineStr">
        <is>
          <t xml:space="preserve">  Разработка модуля безопасности 🔄</t>
        </is>
      </c>
      <c r="C46" s="9" t="n">
        <v>6</v>
      </c>
      <c r="D46" s="9" t="n">
        <v>3</v>
      </c>
      <c r="E46" s="22" t="n"/>
      <c r="F46" s="22" t="n"/>
      <c r="G46" s="22" t="n"/>
      <c r="H46" s="22" t="n"/>
      <c r="I46" s="22" t="n"/>
      <c r="J46" s="28" t="n"/>
      <c r="K46" s="28" t="n"/>
      <c r="L46" s="22" t="n"/>
      <c r="M46" s="22" t="n"/>
      <c r="N46" s="22" t="n"/>
      <c r="O46" s="22" t="n"/>
      <c r="P46" s="22" t="n"/>
      <c r="Q46" s="22" t="n"/>
      <c r="R46" s="22" t="n"/>
      <c r="S46" s="22" t="n"/>
    </row>
    <row r="47">
      <c r="A47" s="7" t="inlineStr">
        <is>
          <t>3.5</t>
        </is>
      </c>
      <c r="B47" s="27" t="inlineStr">
        <is>
          <t xml:space="preserve">  Разработка интеграционных модулей 🔄</t>
        </is>
      </c>
      <c r="C47" s="9" t="n">
        <v>6</v>
      </c>
      <c r="D47" s="9" t="n">
        <v>8</v>
      </c>
      <c r="E47" s="22" t="n"/>
      <c r="F47" s="22" t="n"/>
      <c r="G47" s="22" t="n"/>
      <c r="H47" s="22" t="n"/>
      <c r="I47" s="22" t="n"/>
      <c r="J47" s="28" t="n"/>
      <c r="K47" s="28" t="n"/>
      <c r="L47" s="28" t="n"/>
      <c r="M47" s="22" t="n"/>
      <c r="N47" s="22" t="n"/>
      <c r="O47" s="22" t="n"/>
      <c r="P47" s="22" t="n"/>
      <c r="Q47" s="22" t="n"/>
      <c r="R47" s="22" t="n"/>
      <c r="S47" s="22" t="n"/>
    </row>
    <row r="48">
      <c r="A48" s="7" t="inlineStr">
        <is>
          <t>3.6</t>
        </is>
      </c>
      <c r="B48" s="27" t="inlineStr">
        <is>
          <t xml:space="preserve">  Реализация операционных функций 🔄</t>
        </is>
      </c>
      <c r="C48" s="9" t="n">
        <v>6</v>
      </c>
      <c r="D48" s="9" t="n">
        <v>11</v>
      </c>
      <c r="E48" s="22" t="n"/>
      <c r="F48" s="22" t="n"/>
      <c r="G48" s="22" t="n"/>
      <c r="H48" s="22" t="n"/>
      <c r="I48" s="22" t="n"/>
      <c r="J48" s="28" t="n"/>
      <c r="K48" s="28" t="n"/>
      <c r="L48" s="28" t="n"/>
      <c r="M48" s="22" t="n"/>
      <c r="N48" s="22" t="n"/>
      <c r="O48" s="22" t="n"/>
      <c r="P48" s="22" t="n"/>
      <c r="Q48" s="22" t="n"/>
      <c r="R48" s="22" t="n"/>
      <c r="S48" s="22" t="n"/>
    </row>
    <row r="49">
      <c r="A49" s="12" t="inlineStr">
        <is>
          <t>3.1.1</t>
        </is>
      </c>
      <c r="B49" s="29" t="inlineStr">
        <is>
          <t xml:space="preserve">    Проектирование и реализация слоя Сырого ядра (Raw Data Vault) 🔄</t>
        </is>
      </c>
      <c r="C49" s="14" t="n">
        <v>6</v>
      </c>
      <c r="D49" s="14" t="n">
        <v>2</v>
      </c>
      <c r="E49" s="22" t="n"/>
      <c r="F49" s="22" t="n"/>
      <c r="G49" s="22" t="n"/>
      <c r="H49" s="22" t="n"/>
      <c r="I49" s="22" t="n"/>
      <c r="J49" s="30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</row>
    <row r="50">
      <c r="A50" s="12" t="inlineStr">
        <is>
          <t>3.1.2</t>
        </is>
      </c>
      <c r="B50" s="29" t="inlineStr">
        <is>
          <t xml:space="preserve">    Реализация Оперативного склада реляционных данных 🔄</t>
        </is>
      </c>
      <c r="C50" s="14" t="n">
        <v>6</v>
      </c>
      <c r="D50" s="14" t="n">
        <v>3</v>
      </c>
      <c r="E50" s="22" t="n"/>
      <c r="F50" s="22" t="n"/>
      <c r="G50" s="22" t="n"/>
      <c r="H50" s="22" t="n"/>
      <c r="I50" s="22" t="n"/>
      <c r="J50" s="30" t="n"/>
      <c r="K50" s="30" t="n"/>
      <c r="L50" s="22" t="n"/>
      <c r="M50" s="22" t="n"/>
      <c r="N50" s="22" t="n"/>
      <c r="O50" s="22" t="n"/>
      <c r="P50" s="22" t="n"/>
      <c r="Q50" s="22" t="n"/>
      <c r="R50" s="22" t="n"/>
      <c r="S50" s="22" t="n"/>
    </row>
    <row r="51">
      <c r="A51" s="12" t="inlineStr">
        <is>
          <t>3.2.1</t>
        </is>
      </c>
      <c r="B51" s="29" t="inlineStr">
        <is>
          <t xml:space="preserve">    Проектирование схем предметно-ориентированных витрин 🔄</t>
        </is>
      </c>
      <c r="C51" s="14" t="n">
        <v>6</v>
      </c>
      <c r="D51" s="14" t="n">
        <v>2</v>
      </c>
      <c r="E51" s="22" t="n"/>
      <c r="F51" s="22" t="n"/>
      <c r="G51" s="22" t="n"/>
      <c r="H51" s="22" t="n"/>
      <c r="I51" s="22" t="n"/>
      <c r="J51" s="30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</row>
    <row r="52">
      <c r="A52" s="12" t="inlineStr">
        <is>
          <t>3.2.3</t>
        </is>
      </c>
      <c r="B52" s="29" t="inlineStr">
        <is>
          <t xml:space="preserve">    Разработка оперативных витрин данных 🔄</t>
        </is>
      </c>
      <c r="C52" s="14" t="n">
        <v>6</v>
      </c>
      <c r="D52" s="14" t="n">
        <v>4</v>
      </c>
      <c r="E52" s="22" t="n"/>
      <c r="F52" s="22" t="n"/>
      <c r="G52" s="22" t="n"/>
      <c r="H52" s="22" t="n"/>
      <c r="I52" s="22" t="n"/>
      <c r="J52" s="30" t="n"/>
      <c r="K52" s="30" t="n"/>
      <c r="L52" s="22" t="n"/>
      <c r="M52" s="22" t="n"/>
      <c r="N52" s="22" t="n"/>
      <c r="O52" s="22" t="n"/>
      <c r="P52" s="22" t="n"/>
      <c r="Q52" s="22" t="n"/>
      <c r="R52" s="22" t="n"/>
      <c r="S52" s="22" t="n"/>
    </row>
    <row r="53">
      <c r="A53" s="12" t="inlineStr">
        <is>
          <t>3.3.1</t>
        </is>
      </c>
      <c r="B53" s="29" t="inlineStr">
        <is>
          <t xml:space="preserve">    Разработка API управления жизненным циклом БД 🔄</t>
        </is>
      </c>
      <c r="C53" s="14" t="n">
        <v>6</v>
      </c>
      <c r="D53" s="14" t="n">
        <v>2</v>
      </c>
      <c r="E53" s="22" t="n"/>
      <c r="F53" s="22" t="n"/>
      <c r="G53" s="22" t="n"/>
      <c r="H53" s="22" t="n"/>
      <c r="I53" s="22" t="n"/>
      <c r="J53" s="30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</row>
    <row r="54">
      <c r="A54" s="12" t="inlineStr">
        <is>
          <t>3.3.2</t>
        </is>
      </c>
      <c r="B54" s="29" t="inlineStr">
        <is>
          <t xml:space="preserve">    Реализация модуля провиженинга Postgres Pro 🔄</t>
        </is>
      </c>
      <c r="C54" s="14" t="n">
        <v>6</v>
      </c>
      <c r="D54" s="14" t="n">
        <v>5</v>
      </c>
      <c r="E54" s="22" t="n"/>
      <c r="F54" s="22" t="n"/>
      <c r="G54" s="22" t="n"/>
      <c r="H54" s="22" t="n"/>
      <c r="I54" s="22" t="n"/>
      <c r="J54" s="30" t="n"/>
      <c r="K54" s="30" t="n"/>
      <c r="L54" s="22" t="n"/>
      <c r="M54" s="22" t="n"/>
      <c r="N54" s="22" t="n"/>
      <c r="O54" s="22" t="n"/>
      <c r="P54" s="22" t="n"/>
      <c r="Q54" s="22" t="n"/>
      <c r="R54" s="22" t="n"/>
      <c r="S54" s="22" t="n"/>
    </row>
    <row r="55">
      <c r="A55" s="12" t="inlineStr">
        <is>
          <t>3.4.1</t>
        </is>
      </c>
      <c r="B55" s="29" t="inlineStr">
        <is>
          <t xml:space="preserve">    Подготовка пакета работ</t>
        </is>
      </c>
      <c r="C55" s="14" t="n">
        <v>6</v>
      </c>
      <c r="D55" s="14" t="n">
        <v>1</v>
      </c>
      <c r="E55" s="22" t="n"/>
      <c r="F55" s="22" t="n"/>
      <c r="G55" s="22" t="n"/>
      <c r="H55" s="22" t="n"/>
      <c r="I55" s="22" t="n"/>
      <c r="J55" s="18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</row>
    <row r="56">
      <c r="A56" s="12" t="inlineStr">
        <is>
          <t>3.5.1</t>
        </is>
      </c>
      <c r="B56" s="29" t="inlineStr">
        <is>
          <t xml:space="preserve">    Подготовка пакета работ</t>
        </is>
      </c>
      <c r="C56" s="14" t="n">
        <v>6</v>
      </c>
      <c r="D56" s="14" t="n">
        <v>3</v>
      </c>
      <c r="E56" s="22" t="n"/>
      <c r="F56" s="22" t="n"/>
      <c r="G56" s="22" t="n"/>
      <c r="H56" s="22" t="n"/>
      <c r="I56" s="22" t="n"/>
      <c r="J56" s="18" t="n"/>
      <c r="K56" s="18" t="n"/>
      <c r="L56" s="22" t="n"/>
      <c r="M56" s="22" t="n"/>
      <c r="N56" s="22" t="n"/>
      <c r="O56" s="22" t="n"/>
      <c r="P56" s="22" t="n"/>
      <c r="Q56" s="22" t="n"/>
      <c r="R56" s="22" t="n"/>
      <c r="S56" s="22" t="n"/>
    </row>
    <row r="57">
      <c r="A57" s="12" t="inlineStr">
        <is>
          <t>3.6.1</t>
        </is>
      </c>
      <c r="B57" s="29" t="inlineStr">
        <is>
          <t xml:space="preserve">    Разработка модуля ежедневного резервного копирования 🔄</t>
        </is>
      </c>
      <c r="C57" s="14" t="n">
        <v>6</v>
      </c>
      <c r="D57" s="14" t="n">
        <v>2</v>
      </c>
      <c r="E57" s="22" t="n"/>
      <c r="F57" s="22" t="n"/>
      <c r="G57" s="22" t="n"/>
      <c r="H57" s="22" t="n"/>
      <c r="I57" s="22" t="n"/>
      <c r="J57" s="30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</row>
    <row r="58">
      <c r="A58" s="12" t="inlineStr">
        <is>
          <t>3.6.3</t>
        </is>
      </c>
      <c r="B58" s="29" t="inlineStr">
        <is>
          <t xml:space="preserve">    Разработка службы уведомлений о регламентных работах 🔄</t>
        </is>
      </c>
      <c r="C58" s="14" t="n">
        <v>6</v>
      </c>
      <c r="D58" s="14" t="n">
        <v>2</v>
      </c>
      <c r="E58" s="22" t="n"/>
      <c r="F58" s="22" t="n"/>
      <c r="G58" s="22" t="n"/>
      <c r="H58" s="22" t="n"/>
      <c r="I58" s="22" t="n"/>
      <c r="J58" s="30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</row>
    <row r="59">
      <c r="A59" s="12" t="inlineStr">
        <is>
          <t>3.6.4</t>
        </is>
      </c>
      <c r="B59" s="29" t="inlineStr">
        <is>
          <t xml:space="preserve">    Реализация асинхронного доступа к данным 🔄</t>
        </is>
      </c>
      <c r="C59" s="14" t="n">
        <v>6</v>
      </c>
      <c r="D59" s="14" t="n">
        <v>3</v>
      </c>
      <c r="E59" s="22" t="n"/>
      <c r="F59" s="22" t="n"/>
      <c r="G59" s="22" t="n"/>
      <c r="H59" s="22" t="n"/>
      <c r="I59" s="22" t="n"/>
      <c r="J59" s="30" t="n"/>
      <c r="K59" s="30" t="n"/>
      <c r="L59" s="22" t="n"/>
      <c r="M59" s="22" t="n"/>
      <c r="N59" s="22" t="n"/>
      <c r="O59" s="22" t="n"/>
      <c r="P59" s="22" t="n"/>
      <c r="Q59" s="22" t="n"/>
      <c r="R59" s="22" t="n"/>
      <c r="S59" s="22" t="n"/>
    </row>
    <row r="60">
      <c r="A60" s="12" t="inlineStr">
        <is>
          <t>3.4.2</t>
        </is>
      </c>
      <c r="B60" s="29" t="inlineStr">
        <is>
          <t xml:space="preserve">    Реализация основного объема работ</t>
        </is>
      </c>
      <c r="C60" s="14" t="n">
        <v>6</v>
      </c>
      <c r="D60" s="14" t="n">
        <v>2</v>
      </c>
      <c r="E60" s="22" t="n"/>
      <c r="F60" s="22" t="n"/>
      <c r="G60" s="22" t="n"/>
      <c r="H60" s="22" t="n"/>
      <c r="I60" s="22" t="n"/>
      <c r="J60" s="18" t="n"/>
      <c r="K60" s="18" t="n"/>
      <c r="L60" s="22" t="n"/>
      <c r="M60" s="22" t="n"/>
      <c r="N60" s="22" t="n"/>
      <c r="O60" s="22" t="n"/>
      <c r="P60" s="22" t="n"/>
      <c r="Q60" s="22" t="n"/>
      <c r="R60" s="22" t="n"/>
      <c r="S60" s="22" t="n"/>
    </row>
    <row r="61">
      <c r="A61" s="12" t="inlineStr">
        <is>
          <t>3.2.2</t>
        </is>
      </c>
      <c r="B61" s="29" t="inlineStr">
        <is>
          <t xml:space="preserve">    Реализация ETL-процессов наполнения витрин</t>
        </is>
      </c>
      <c r="C61" s="14" t="n">
        <v>7</v>
      </c>
      <c r="D61" s="14" t="n">
        <v>3</v>
      </c>
      <c r="E61" s="22" t="n"/>
      <c r="F61" s="22" t="n"/>
      <c r="G61" s="22" t="n"/>
      <c r="H61" s="22" t="n"/>
      <c r="I61" s="22" t="n"/>
      <c r="J61" s="22" t="n"/>
      <c r="K61" s="18" t="n"/>
      <c r="L61" s="22" t="n"/>
      <c r="M61" s="22" t="n"/>
      <c r="N61" s="22" t="n"/>
      <c r="O61" s="22" t="n"/>
      <c r="P61" s="22" t="n"/>
      <c r="Q61" s="22" t="n"/>
      <c r="R61" s="22" t="n"/>
      <c r="S61" s="22" t="n"/>
    </row>
    <row r="62">
      <c r="A62" s="12" t="inlineStr">
        <is>
          <t>3.6.2</t>
        </is>
      </c>
      <c r="B62" s="29" t="inlineStr">
        <is>
          <t xml:space="preserve">    Интеграция бэкапа перед обновлениями</t>
        </is>
      </c>
      <c r="C62" s="14" t="n">
        <v>7</v>
      </c>
      <c r="D62" s="14" t="n">
        <v>2</v>
      </c>
      <c r="E62" s="22" t="n"/>
      <c r="F62" s="22" t="n"/>
      <c r="G62" s="22" t="n"/>
      <c r="H62" s="22" t="n"/>
      <c r="I62" s="22" t="n"/>
      <c r="J62" s="22" t="n"/>
      <c r="K62" s="18" t="n"/>
      <c r="L62" s="22" t="n"/>
      <c r="M62" s="22" t="n"/>
      <c r="N62" s="22" t="n"/>
      <c r="O62" s="22" t="n"/>
      <c r="P62" s="22" t="n"/>
      <c r="Q62" s="22" t="n"/>
      <c r="R62" s="22" t="n"/>
      <c r="S62" s="22" t="n"/>
    </row>
    <row r="63">
      <c r="A63" s="12" t="inlineStr">
        <is>
          <t>3.1.3</t>
        </is>
      </c>
      <c r="B63" s="29" t="inlineStr">
        <is>
          <t xml:space="preserve">    Разработка ETL-модулей загрузки и трансформации данных</t>
        </is>
      </c>
      <c r="C63" s="14" t="n">
        <v>7</v>
      </c>
      <c r="D63" s="14" t="n">
        <v>4</v>
      </c>
      <c r="E63" s="22" t="n"/>
      <c r="F63" s="22" t="n"/>
      <c r="G63" s="22" t="n"/>
      <c r="H63" s="22" t="n"/>
      <c r="I63" s="22" t="n"/>
      <c r="J63" s="22" t="n"/>
      <c r="K63" s="18" t="n"/>
      <c r="L63" s="22" t="n"/>
      <c r="M63" s="22" t="n"/>
      <c r="N63" s="22" t="n"/>
      <c r="O63" s="22" t="n"/>
      <c r="P63" s="22" t="n"/>
      <c r="Q63" s="22" t="n"/>
      <c r="R63" s="22" t="n"/>
      <c r="S63" s="22" t="n"/>
    </row>
    <row r="64">
      <c r="A64" s="12" t="inlineStr">
        <is>
          <t>3.4.3</t>
        </is>
      </c>
      <c r="B64" s="29" t="inlineStr">
        <is>
          <t xml:space="preserve">    Проверка и фиксация результата</t>
        </is>
      </c>
      <c r="C64" s="14" t="n">
        <v>7</v>
      </c>
      <c r="D64" s="14" t="n">
        <v>1</v>
      </c>
      <c r="E64" s="22" t="n"/>
      <c r="F64" s="22" t="n"/>
      <c r="G64" s="22" t="n"/>
      <c r="H64" s="22" t="n"/>
      <c r="I64" s="22" t="n"/>
      <c r="J64" s="22" t="n"/>
      <c r="K64" s="18" t="n"/>
      <c r="L64" s="22" t="n"/>
      <c r="M64" s="22" t="n"/>
      <c r="N64" s="22" t="n"/>
      <c r="O64" s="22" t="n"/>
      <c r="P64" s="22" t="n"/>
      <c r="Q64" s="22" t="n"/>
      <c r="R64" s="22" t="n"/>
      <c r="S64" s="22" t="n"/>
    </row>
    <row r="65">
      <c r="A65" s="12" t="inlineStr">
        <is>
          <t>3.5.2</t>
        </is>
      </c>
      <c r="B65" s="29" t="inlineStr">
        <is>
          <t xml:space="preserve">    Реализация основного объема работ</t>
        </is>
      </c>
      <c r="C65" s="14" t="n">
        <v>7</v>
      </c>
      <c r="D65" s="14" t="n">
        <v>3</v>
      </c>
      <c r="E65" s="22" t="n"/>
      <c r="F65" s="22" t="n"/>
      <c r="G65" s="22" t="n"/>
      <c r="H65" s="22" t="n"/>
      <c r="I65" s="22" t="n"/>
      <c r="J65" s="22" t="n"/>
      <c r="K65" s="18" t="n"/>
      <c r="L65" s="22" t="n"/>
      <c r="M65" s="22" t="n"/>
      <c r="N65" s="22" t="n"/>
      <c r="O65" s="22" t="n"/>
      <c r="P65" s="22" t="n"/>
      <c r="Q65" s="22" t="n"/>
      <c r="R65" s="22" t="n"/>
      <c r="S65" s="22" t="n"/>
    </row>
    <row r="66">
      <c r="A66" s="12" t="inlineStr">
        <is>
          <t>3.6.5</t>
        </is>
      </c>
      <c r="B66" s="29" t="inlineStr">
        <is>
          <t xml:space="preserve">    Тестирование операционных функций</t>
        </is>
      </c>
      <c r="C66" s="14" t="n">
        <v>7</v>
      </c>
      <c r="D66" s="14" t="n">
        <v>3</v>
      </c>
      <c r="E66" s="22" t="n"/>
      <c r="F66" s="22" t="n"/>
      <c r="G66" s="22" t="n"/>
      <c r="H66" s="22" t="n"/>
      <c r="I66" s="22" t="n"/>
      <c r="J66" s="22" t="n"/>
      <c r="K66" s="18" t="n"/>
      <c r="L66" s="22" t="n"/>
      <c r="M66" s="22" t="n"/>
      <c r="N66" s="22" t="n"/>
      <c r="O66" s="22" t="n"/>
      <c r="P66" s="22" t="n"/>
      <c r="Q66" s="22" t="n"/>
      <c r="R66" s="22" t="n"/>
      <c r="S66" s="22" t="n"/>
    </row>
    <row r="67">
      <c r="A67" s="12" t="inlineStr">
        <is>
          <t>3.2.4</t>
        </is>
      </c>
      <c r="B67" s="29" t="inlineStr">
        <is>
          <t xml:space="preserve">    Настройка сервиса ускорения аналитических запросов</t>
        </is>
      </c>
      <c r="C67" s="14" t="n">
        <v>7</v>
      </c>
      <c r="D67" s="14" t="n">
        <v>4</v>
      </c>
      <c r="E67" s="22" t="n"/>
      <c r="F67" s="22" t="n"/>
      <c r="G67" s="22" t="n"/>
      <c r="H67" s="22" t="n"/>
      <c r="I67" s="22" t="n"/>
      <c r="J67" s="22" t="n"/>
      <c r="K67" s="18" t="n"/>
      <c r="L67" s="18" t="n"/>
      <c r="M67" s="22" t="n"/>
      <c r="N67" s="22" t="n"/>
      <c r="O67" s="22" t="n"/>
      <c r="P67" s="22" t="n"/>
      <c r="Q67" s="22" t="n"/>
      <c r="R67" s="22" t="n"/>
      <c r="S67" s="22" t="n"/>
    </row>
    <row r="68">
      <c r="A68" s="12" t="inlineStr">
        <is>
          <t>3.3.3</t>
        </is>
      </c>
      <c r="B68" s="29" t="inlineStr">
        <is>
          <t xml:space="preserve">    Настройка репликации и катастрофоустойчивости</t>
        </is>
      </c>
      <c r="C68" s="14" t="n">
        <v>7</v>
      </c>
      <c r="D68" s="14" t="n">
        <v>2</v>
      </c>
      <c r="E68" s="22" t="n"/>
      <c r="F68" s="22" t="n"/>
      <c r="G68" s="22" t="n"/>
      <c r="H68" s="22" t="n"/>
      <c r="I68" s="22" t="n"/>
      <c r="J68" s="22" t="n"/>
      <c r="K68" s="18" t="n"/>
      <c r="L68" s="22" t="n"/>
      <c r="M68" s="22" t="n"/>
      <c r="N68" s="22" t="n"/>
      <c r="O68" s="22" t="n"/>
      <c r="P68" s="22" t="n"/>
      <c r="Q68" s="22" t="n"/>
      <c r="R68" s="22" t="n"/>
      <c r="S68" s="22" t="n"/>
    </row>
    <row r="69">
      <c r="A69" s="12" t="inlineStr">
        <is>
          <t>3.3.4</t>
        </is>
      </c>
      <c r="B69" s="29" t="inlineStr">
        <is>
          <t xml:space="preserve">    Разработка модуля резервного копирования 🔄</t>
        </is>
      </c>
      <c r="C69" s="14" t="n">
        <v>7</v>
      </c>
      <c r="D69" s="14" t="n">
        <v>3</v>
      </c>
      <c r="E69" s="22" t="n"/>
      <c r="F69" s="22" t="n"/>
      <c r="G69" s="22" t="n"/>
      <c r="H69" s="22" t="n"/>
      <c r="I69" s="22" t="n"/>
      <c r="J69" s="22" t="n"/>
      <c r="K69" s="30" t="n"/>
      <c r="L69" s="30" t="n"/>
      <c r="M69" s="22" t="n"/>
      <c r="N69" s="22" t="n"/>
      <c r="O69" s="22" t="n"/>
      <c r="P69" s="22" t="n"/>
      <c r="Q69" s="22" t="n"/>
      <c r="R69" s="22" t="n"/>
      <c r="S69" s="22" t="n"/>
    </row>
    <row r="70">
      <c r="A70" s="12" t="inlineStr">
        <is>
          <t>3.3.5</t>
        </is>
      </c>
      <c r="B70" s="29" t="inlineStr">
        <is>
          <t xml:space="preserve">    Интеграция с системой мониторинга 🔄</t>
        </is>
      </c>
      <c r="C70" s="14" t="n">
        <v>7</v>
      </c>
      <c r="D70" s="14" t="n">
        <v>3</v>
      </c>
      <c r="E70" s="22" t="n"/>
      <c r="F70" s="22" t="n"/>
      <c r="G70" s="22" t="n"/>
      <c r="H70" s="22" t="n"/>
      <c r="I70" s="22" t="n"/>
      <c r="J70" s="22" t="n"/>
      <c r="K70" s="30" t="n"/>
      <c r="L70" s="30" t="n"/>
      <c r="M70" s="22" t="n"/>
      <c r="N70" s="22" t="n"/>
      <c r="O70" s="22" t="n"/>
      <c r="P70" s="22" t="n"/>
      <c r="Q70" s="22" t="n"/>
      <c r="R70" s="22" t="n"/>
      <c r="S70" s="22" t="n"/>
    </row>
    <row r="71">
      <c r="A71" s="12" t="inlineStr">
        <is>
          <t>3.5.3</t>
        </is>
      </c>
      <c r="B71" s="29" t="inlineStr">
        <is>
          <t xml:space="preserve">    Проверка и фиксация результата</t>
        </is>
      </c>
      <c r="C71" s="14" t="n">
        <v>7</v>
      </c>
      <c r="D71" s="14" t="n">
        <v>2</v>
      </c>
      <c r="E71" s="22" t="n"/>
      <c r="F71" s="22" t="n"/>
      <c r="G71" s="22" t="n"/>
      <c r="H71" s="22" t="n"/>
      <c r="I71" s="22" t="n"/>
      <c r="J71" s="22" t="n"/>
      <c r="K71" s="18" t="n"/>
      <c r="L71" s="18" t="n"/>
      <c r="M71" s="22" t="n"/>
      <c r="N71" s="22" t="n"/>
      <c r="O71" s="22" t="n"/>
      <c r="P71" s="22" t="n"/>
      <c r="Q71" s="22" t="n"/>
      <c r="R71" s="22" t="n"/>
      <c r="S71" s="22" t="n"/>
    </row>
    <row r="72">
      <c r="A72" s="12" t="inlineStr">
        <is>
          <t>3.1.4</t>
        </is>
      </c>
      <c r="B72" s="29" t="inlineStr">
        <is>
          <t xml:space="preserve">    Реализация слоя Business Data Vault</t>
        </is>
      </c>
      <c r="C72" s="14" t="n">
        <v>8</v>
      </c>
      <c r="D72" s="14" t="n">
        <v>4</v>
      </c>
      <c r="E72" s="22" t="n"/>
      <c r="F72" s="22" t="n"/>
      <c r="G72" s="22" t="n"/>
      <c r="H72" s="22" t="n"/>
      <c r="I72" s="22" t="n"/>
      <c r="J72" s="22" t="n"/>
      <c r="K72" s="22" t="n"/>
      <c r="L72" s="18" t="n"/>
      <c r="M72" s="22" t="n"/>
      <c r="N72" s="22" t="n"/>
      <c r="O72" s="22" t="n"/>
      <c r="P72" s="22" t="n"/>
      <c r="Q72" s="22" t="n"/>
      <c r="R72" s="22" t="n"/>
      <c r="S72" s="22" t="n"/>
    </row>
    <row r="73">
      <c r="A73" s="12" t="inlineStr">
        <is>
          <t>3.2.5</t>
        </is>
      </c>
      <c r="B73" s="29" t="inlineStr">
        <is>
          <t xml:space="preserve">    Создание BI-представлений и аналитических отчётов</t>
        </is>
      </c>
      <c r="C73" s="14" t="n">
        <v>8</v>
      </c>
      <c r="D73" s="14" t="n">
        <v>3</v>
      </c>
      <c r="E73" s="22" t="n"/>
      <c r="F73" s="22" t="n"/>
      <c r="G73" s="22" t="n"/>
      <c r="H73" s="22" t="n"/>
      <c r="I73" s="22" t="n"/>
      <c r="J73" s="22" t="n"/>
      <c r="K73" s="22" t="n"/>
      <c r="L73" s="18" t="n"/>
      <c r="M73" s="22" t="n"/>
      <c r="N73" s="22" t="n"/>
      <c r="O73" s="22" t="n"/>
      <c r="P73" s="22" t="n"/>
      <c r="Q73" s="22" t="n"/>
      <c r="R73" s="22" t="n"/>
      <c r="S73" s="22" t="n"/>
    </row>
    <row r="74">
      <c r="A74" s="12" t="inlineStr">
        <is>
          <t>3.1.5</t>
        </is>
      </c>
      <c r="B74" s="29" t="inlineStr">
        <is>
          <t xml:space="preserve">    Настройка механизмов архивации данных с 6-летним сроком хранения</t>
        </is>
      </c>
      <c r="C74" s="14" t="n">
        <v>8</v>
      </c>
      <c r="D74" s="14" t="n">
        <v>3</v>
      </c>
      <c r="E74" s="22" t="n"/>
      <c r="F74" s="22" t="n"/>
      <c r="G74" s="22" t="n"/>
      <c r="H74" s="22" t="n"/>
      <c r="I74" s="22" t="n"/>
      <c r="J74" s="22" t="n"/>
      <c r="K74" s="22" t="n"/>
      <c r="L74" s="18" t="n"/>
      <c r="M74" s="18" t="n"/>
      <c r="N74" s="22" t="n"/>
      <c r="O74" s="22" t="n"/>
      <c r="P74" s="22" t="n"/>
      <c r="Q74" s="22" t="n"/>
      <c r="R74" s="22" t="n"/>
      <c r="S74" s="22" t="n"/>
    </row>
    <row r="75">
      <c r="A75" s="2" t="inlineStr">
        <is>
          <t>4</t>
        </is>
      </c>
      <c r="B75" s="25" t="inlineStr">
        <is>
          <t>Тестирование</t>
        </is>
      </c>
      <c r="C75" s="4" t="n">
        <v>9</v>
      </c>
      <c r="D75" s="4" t="n">
        <v>11</v>
      </c>
      <c r="E75" s="22" t="n"/>
      <c r="F75" s="22" t="n"/>
      <c r="G75" s="22" t="n"/>
      <c r="H75" s="22" t="n"/>
      <c r="I75" s="22" t="n"/>
      <c r="J75" s="22" t="n"/>
      <c r="K75" s="22" t="n"/>
      <c r="L75" s="22" t="n"/>
      <c r="M75" s="26" t="n"/>
      <c r="N75" s="26" t="n"/>
      <c r="O75" s="26" t="n"/>
      <c r="P75" s="22" t="n"/>
      <c r="Q75" s="22" t="n"/>
      <c r="R75" s="22" t="n"/>
      <c r="S75" s="22" t="n"/>
    </row>
    <row r="76">
      <c r="A76" s="7" t="inlineStr">
        <is>
          <t>4.1</t>
        </is>
      </c>
      <c r="B76" s="27" t="inlineStr">
        <is>
          <t xml:space="preserve">  Функциональное тестирование</t>
        </is>
      </c>
      <c r="C76" s="9" t="n">
        <v>9</v>
      </c>
      <c r="D76" s="9" t="n">
        <v>8</v>
      </c>
      <c r="E76" s="22" t="n"/>
      <c r="F76" s="22" t="n"/>
      <c r="G76" s="22" t="n"/>
      <c r="H76" s="22" t="n"/>
      <c r="I76" s="22" t="n"/>
      <c r="J76" s="22" t="n"/>
      <c r="K76" s="22" t="n"/>
      <c r="L76" s="22" t="n"/>
      <c r="M76" s="31" t="n"/>
      <c r="N76" s="31" t="n"/>
      <c r="O76" s="31" t="n"/>
      <c r="P76" s="22" t="n"/>
      <c r="Q76" s="22" t="n"/>
      <c r="R76" s="22" t="n"/>
      <c r="S76" s="22" t="n"/>
    </row>
    <row r="77">
      <c r="A77" s="7" t="inlineStr">
        <is>
          <t>4.2</t>
        </is>
      </c>
      <c r="B77" s="27" t="inlineStr">
        <is>
          <t xml:space="preserve">  Нагрузочное и производственное тестирование 🔄</t>
        </is>
      </c>
      <c r="C77" s="9" t="n">
        <v>9</v>
      </c>
      <c r="D77" s="9" t="n">
        <v>3</v>
      </c>
      <c r="E77" s="22" t="n"/>
      <c r="F77" s="22" t="n"/>
      <c r="G77" s="22" t="n"/>
      <c r="H77" s="22" t="n"/>
      <c r="I77" s="22" t="n"/>
      <c r="J77" s="22" t="n"/>
      <c r="K77" s="22" t="n"/>
      <c r="L77" s="22" t="n"/>
      <c r="M77" s="28" t="n"/>
      <c r="N77" s="28" t="n"/>
      <c r="O77" s="22" t="n"/>
      <c r="P77" s="22" t="n"/>
      <c r="Q77" s="22" t="n"/>
      <c r="R77" s="22" t="n"/>
      <c r="S77" s="22" t="n"/>
    </row>
    <row r="78">
      <c r="A78" s="7" t="inlineStr">
        <is>
          <t>4.3</t>
        </is>
      </c>
      <c r="B78" s="27" t="inlineStr">
        <is>
          <t xml:space="preserve">  Тестирование отказоустойчивости и восстановления 🔄</t>
        </is>
      </c>
      <c r="C78" s="9" t="n">
        <v>9</v>
      </c>
      <c r="D78" s="9" t="n">
        <v>11</v>
      </c>
      <c r="E78" s="22" t="n"/>
      <c r="F78" s="22" t="n"/>
      <c r="G78" s="22" t="n"/>
      <c r="H78" s="22" t="n"/>
      <c r="I78" s="22" t="n"/>
      <c r="J78" s="22" t="n"/>
      <c r="K78" s="22" t="n"/>
      <c r="L78" s="22" t="n"/>
      <c r="M78" s="28" t="n"/>
      <c r="N78" s="28" t="n"/>
      <c r="O78" s="28" t="n"/>
      <c r="P78" s="22" t="n"/>
      <c r="Q78" s="22" t="n"/>
      <c r="R78" s="22" t="n"/>
      <c r="S78" s="22" t="n"/>
    </row>
    <row r="79">
      <c r="A79" s="7" t="inlineStr">
        <is>
          <t>4.4</t>
        </is>
      </c>
      <c r="B79" s="27" t="inlineStr">
        <is>
          <t xml:space="preserve">  Тестирование безопасности 🔄</t>
        </is>
      </c>
      <c r="C79" s="9" t="n">
        <v>9</v>
      </c>
      <c r="D79" s="9" t="n">
        <v>9</v>
      </c>
      <c r="E79" s="22" t="n"/>
      <c r="F79" s="22" t="n"/>
      <c r="G79" s="22" t="n"/>
      <c r="H79" s="22" t="n"/>
      <c r="I79" s="22" t="n"/>
      <c r="J79" s="22" t="n"/>
      <c r="K79" s="22" t="n"/>
      <c r="L79" s="22" t="n"/>
      <c r="M79" s="28" t="n"/>
      <c r="N79" s="28" t="n"/>
      <c r="O79" s="28" t="n"/>
      <c r="P79" s="22" t="n"/>
      <c r="Q79" s="22" t="n"/>
      <c r="R79" s="22" t="n"/>
      <c r="S79" s="22" t="n"/>
    </row>
    <row r="80">
      <c r="A80" s="12" t="inlineStr">
        <is>
          <t>4.1.1</t>
        </is>
      </c>
      <c r="B80" s="29" t="inlineStr">
        <is>
          <t xml:space="preserve">    Разработка тест-кейсов и сценариев</t>
        </is>
      </c>
      <c r="C80" s="14" t="n">
        <v>9</v>
      </c>
      <c r="D80" s="14" t="n">
        <v>2</v>
      </c>
      <c r="E80" s="22" t="n"/>
      <c r="F80" s="22" t="n"/>
      <c r="G80" s="22" t="n"/>
      <c r="H80" s="22" t="n"/>
      <c r="I80" s="22" t="n"/>
      <c r="J80" s="22" t="n"/>
      <c r="K80" s="22" t="n"/>
      <c r="L80" s="22" t="n"/>
      <c r="M80" s="18" t="n"/>
      <c r="N80" s="22" t="n"/>
      <c r="O80" s="22" t="n"/>
      <c r="P80" s="22" t="n"/>
      <c r="Q80" s="22" t="n"/>
      <c r="R80" s="22" t="n"/>
      <c r="S80" s="22" t="n"/>
    </row>
    <row r="81">
      <c r="A81" s="12" t="inlineStr">
        <is>
          <t>4.2.1</t>
        </is>
      </c>
      <c r="B81" s="29" t="inlineStr">
        <is>
          <t xml:space="preserve">    Подготовка пакета работ</t>
        </is>
      </c>
      <c r="C81" s="14" t="n">
        <v>9</v>
      </c>
      <c r="D81" s="14" t="n">
        <v>1</v>
      </c>
      <c r="E81" s="22" t="n"/>
      <c r="F81" s="22" t="n"/>
      <c r="G81" s="22" t="n"/>
      <c r="H81" s="22" t="n"/>
      <c r="I81" s="22" t="n"/>
      <c r="J81" s="22" t="n"/>
      <c r="K81" s="22" t="n"/>
      <c r="L81" s="22" t="n"/>
      <c r="M81" s="18" t="n"/>
      <c r="N81" s="22" t="n"/>
      <c r="O81" s="22" t="n"/>
      <c r="P81" s="22" t="n"/>
      <c r="Q81" s="22" t="n"/>
      <c r="R81" s="22" t="n"/>
      <c r="S81" s="22" t="n"/>
    </row>
    <row r="82">
      <c r="A82" s="12" t="inlineStr">
        <is>
          <t>4.3.1</t>
        </is>
      </c>
      <c r="B82" s="29" t="inlineStr">
        <is>
          <t xml:space="preserve">    Разработка сценариев DR-тестирования 🔄</t>
        </is>
      </c>
      <c r="C82" s="14" t="n">
        <v>9</v>
      </c>
      <c r="D82" s="14" t="n">
        <v>2</v>
      </c>
      <c r="E82" s="22" t="n"/>
      <c r="F82" s="22" t="n"/>
      <c r="G82" s="22" t="n"/>
      <c r="H82" s="22" t="n"/>
      <c r="I82" s="22" t="n"/>
      <c r="J82" s="22" t="n"/>
      <c r="K82" s="22" t="n"/>
      <c r="L82" s="22" t="n"/>
      <c r="M82" s="30" t="n"/>
      <c r="N82" s="22" t="n"/>
      <c r="O82" s="22" t="n"/>
      <c r="P82" s="22" t="n"/>
      <c r="Q82" s="22" t="n"/>
      <c r="R82" s="22" t="n"/>
      <c r="S82" s="22" t="n"/>
    </row>
    <row r="83">
      <c r="A83" s="12" t="inlineStr">
        <is>
          <t>4.3.2</t>
        </is>
      </c>
      <c r="B83" s="29" t="inlineStr">
        <is>
          <t xml:space="preserve">    Подготовка тестовой среды для failover-тестов 🔄</t>
        </is>
      </c>
      <c r="C83" s="14" t="n">
        <v>9</v>
      </c>
      <c r="D83" s="14" t="n">
        <v>2</v>
      </c>
      <c r="E83" s="22" t="n"/>
      <c r="F83" s="22" t="n"/>
      <c r="G83" s="22" t="n"/>
      <c r="H83" s="22" t="n"/>
      <c r="I83" s="22" t="n"/>
      <c r="J83" s="22" t="n"/>
      <c r="K83" s="22" t="n"/>
      <c r="L83" s="22" t="n"/>
      <c r="M83" s="30" t="n"/>
      <c r="N83" s="22" t="n"/>
      <c r="O83" s="22" t="n"/>
      <c r="P83" s="22" t="n"/>
      <c r="Q83" s="22" t="n"/>
      <c r="R83" s="22" t="n"/>
      <c r="S83" s="22" t="n"/>
    </row>
    <row r="84">
      <c r="A84" s="12" t="inlineStr">
        <is>
          <t>4.4.1</t>
        </is>
      </c>
      <c r="B84" s="29" t="inlineStr">
        <is>
          <t xml:space="preserve">    Анализ уязвимостей аутентификации и авторизации 🔄</t>
        </is>
      </c>
      <c r="C84" s="14" t="n">
        <v>9</v>
      </c>
      <c r="D84" s="14" t="n">
        <v>2</v>
      </c>
      <c r="E84" s="22" t="n"/>
      <c r="F84" s="22" t="n"/>
      <c r="G84" s="22" t="n"/>
      <c r="H84" s="22" t="n"/>
      <c r="I84" s="22" t="n"/>
      <c r="J84" s="22" t="n"/>
      <c r="K84" s="22" t="n"/>
      <c r="L84" s="22" t="n"/>
      <c r="M84" s="30" t="n"/>
      <c r="N84" s="22" t="n"/>
      <c r="O84" s="22" t="n"/>
      <c r="P84" s="22" t="n"/>
      <c r="Q84" s="22" t="n"/>
      <c r="R84" s="22" t="n"/>
      <c r="S84" s="22" t="n"/>
    </row>
    <row r="85">
      <c r="A85" s="12" t="inlineStr">
        <is>
          <t>4.4.4</t>
        </is>
      </c>
      <c r="B85" s="29" t="inlineStr">
        <is>
          <t xml:space="preserve">    Пентестинг API и периметра системы 🔄</t>
        </is>
      </c>
      <c r="C85" s="14" t="n">
        <v>9</v>
      </c>
      <c r="D85" s="14" t="n">
        <v>2</v>
      </c>
      <c r="E85" s="22" t="n"/>
      <c r="F85" s="22" t="n"/>
      <c r="G85" s="22" t="n"/>
      <c r="H85" s="22" t="n"/>
      <c r="I85" s="22" t="n"/>
      <c r="J85" s="22" t="n"/>
      <c r="K85" s="22" t="n"/>
      <c r="L85" s="22" t="n"/>
      <c r="M85" s="30" t="n"/>
      <c r="N85" s="22" t="n"/>
      <c r="O85" s="22" t="n"/>
      <c r="P85" s="22" t="n"/>
      <c r="Q85" s="22" t="n"/>
      <c r="R85" s="22" t="n"/>
      <c r="S85" s="22" t="n"/>
    </row>
    <row r="86">
      <c r="A86" s="12" t="inlineStr">
        <is>
          <t>4.4.5</t>
        </is>
      </c>
      <c r="B86" s="29" t="inlineStr">
        <is>
          <t xml:space="preserve">    Аудит системы логирования действий пользователей 🔄</t>
        </is>
      </c>
      <c r="C86" s="14" t="n">
        <v>9</v>
      </c>
      <c r="D86" s="14" t="n">
        <v>1</v>
      </c>
      <c r="E86" s="22" t="n"/>
      <c r="F86" s="22" t="n"/>
      <c r="G86" s="22" t="n"/>
      <c r="H86" s="22" t="n"/>
      <c r="I86" s="22" t="n"/>
      <c r="J86" s="22" t="n"/>
      <c r="K86" s="22" t="n"/>
      <c r="L86" s="22" t="n"/>
      <c r="M86" s="30" t="n"/>
      <c r="N86" s="22" t="n"/>
      <c r="O86" s="22" t="n"/>
      <c r="P86" s="22" t="n"/>
      <c r="Q86" s="22" t="n"/>
      <c r="R86" s="22" t="n"/>
      <c r="S86" s="22" t="n"/>
    </row>
    <row r="87">
      <c r="A87" s="12" t="inlineStr">
        <is>
          <t>4.2.2</t>
        </is>
      </c>
      <c r="B87" s="29" t="inlineStr">
        <is>
          <t xml:space="preserve">    Реализация основного объема работ</t>
        </is>
      </c>
      <c r="C87" s="14" t="n">
        <v>9</v>
      </c>
      <c r="D87" s="14" t="n">
        <v>2</v>
      </c>
      <c r="E87" s="22" t="n"/>
      <c r="F87" s="22" t="n"/>
      <c r="G87" s="22" t="n"/>
      <c r="H87" s="22" t="n"/>
      <c r="I87" s="22" t="n"/>
      <c r="J87" s="22" t="n"/>
      <c r="K87" s="22" t="n"/>
      <c r="L87" s="22" t="n"/>
      <c r="M87" s="18" t="n"/>
      <c r="N87" s="18" t="n"/>
      <c r="O87" s="22" t="n"/>
      <c r="P87" s="22" t="n"/>
      <c r="Q87" s="22" t="n"/>
      <c r="R87" s="22" t="n"/>
      <c r="S87" s="22" t="n"/>
    </row>
    <row r="88">
      <c r="A88" s="12" t="inlineStr">
        <is>
          <t>4.1.2</t>
        </is>
      </c>
      <c r="B88" s="29" t="inlineStr">
        <is>
          <t xml:space="preserve">    Подготовка тестовых данных</t>
        </is>
      </c>
      <c r="C88" s="14" t="n">
        <v>10</v>
      </c>
      <c r="D88" s="14" t="n">
        <v>2</v>
      </c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18" t="n"/>
      <c r="O88" s="22" t="n"/>
      <c r="P88" s="22" t="n"/>
      <c r="Q88" s="22" t="n"/>
      <c r="R88" s="22" t="n"/>
      <c r="S88" s="22" t="n"/>
    </row>
    <row r="89">
      <c r="A89" s="12" t="inlineStr">
        <is>
          <t>4.3.3</t>
        </is>
      </c>
      <c r="B89" s="29" t="inlineStr">
        <is>
          <t xml:space="preserve">    Тестирование восстановления критичных компонентов</t>
        </is>
      </c>
      <c r="C89" s="14" t="n">
        <v>10</v>
      </c>
      <c r="D89" s="14" t="n">
        <v>3</v>
      </c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18" t="n"/>
      <c r="O89" s="22" t="n"/>
      <c r="P89" s="22" t="n"/>
      <c r="Q89" s="22" t="n"/>
      <c r="R89" s="22" t="n"/>
      <c r="S89" s="22" t="n"/>
    </row>
    <row r="90">
      <c r="A90" s="12" t="inlineStr">
        <is>
          <t>4.4.2</t>
        </is>
      </c>
      <c r="B90" s="29" t="inlineStr">
        <is>
          <t xml:space="preserve">    Тестирование корректности категоризации данных</t>
        </is>
      </c>
      <c r="C90" s="14" t="n">
        <v>10</v>
      </c>
      <c r="D90" s="14" t="n">
        <v>2</v>
      </c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18" t="n"/>
      <c r="O90" s="22" t="n"/>
      <c r="P90" s="22" t="n"/>
      <c r="Q90" s="22" t="n"/>
      <c r="R90" s="22" t="n"/>
      <c r="S90" s="22" t="n"/>
    </row>
    <row r="91">
      <c r="A91" s="12" t="inlineStr">
        <is>
          <t>4.4.3</t>
        </is>
      </c>
      <c r="B91" s="29" t="inlineStr">
        <is>
          <t xml:space="preserve">    Проверка политик гранулированного доступа 🔄</t>
        </is>
      </c>
      <c r="C91" s="14" t="n">
        <v>10</v>
      </c>
      <c r="D91" s="14" t="n">
        <v>2</v>
      </c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30" t="n"/>
      <c r="O91" s="22" t="n"/>
      <c r="P91" s="22" t="n"/>
      <c r="Q91" s="22" t="n"/>
      <c r="R91" s="22" t="n"/>
      <c r="S91" s="22" t="n"/>
    </row>
    <row r="92">
      <c r="A92" s="12" t="inlineStr">
        <is>
          <t>4.2.3</t>
        </is>
      </c>
      <c r="B92" s="29" t="inlineStr">
        <is>
          <t xml:space="preserve">    Проверка и фиксация результата</t>
        </is>
      </c>
      <c r="C92" s="14" t="n">
        <v>10</v>
      </c>
      <c r="D92" s="14" t="n">
        <v>1</v>
      </c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18" t="n"/>
      <c r="O92" s="22" t="n"/>
      <c r="P92" s="22" t="n"/>
      <c r="Q92" s="22" t="n"/>
      <c r="R92" s="22" t="n"/>
      <c r="S92" s="22" t="n"/>
    </row>
    <row r="93">
      <c r="A93" s="12" t="inlineStr">
        <is>
          <t>4.1.3</t>
        </is>
      </c>
      <c r="B93" s="29" t="inlineStr">
        <is>
          <t xml:space="preserve">    Выполнение функциональных тестов</t>
        </is>
      </c>
      <c r="C93" s="14" t="n">
        <v>10</v>
      </c>
      <c r="D93" s="14" t="n">
        <v>2</v>
      </c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18" t="n"/>
      <c r="O93" s="22" t="n"/>
      <c r="P93" s="22" t="n"/>
      <c r="Q93" s="22" t="n"/>
      <c r="R93" s="22" t="n"/>
      <c r="S93" s="22" t="n"/>
    </row>
    <row r="94">
      <c r="A94" s="12" t="inlineStr">
        <is>
          <t>4.3.4</t>
        </is>
      </c>
      <c r="B94" s="29" t="inlineStr">
        <is>
          <t xml:space="preserve">    Тестирование катастрофоустойчивости при отказе ЦОД</t>
        </is>
      </c>
      <c r="C94" s="14" t="n">
        <v>10</v>
      </c>
      <c r="D94" s="14" t="n">
        <v>3</v>
      </c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18" t="n"/>
      <c r="O94" s="18" t="n"/>
      <c r="P94" s="22" t="n"/>
      <c r="Q94" s="22" t="n"/>
      <c r="R94" s="22" t="n"/>
      <c r="S94" s="22" t="n"/>
    </row>
    <row r="95">
      <c r="A95" s="12" t="inlineStr">
        <is>
          <t>4.1.4</t>
        </is>
      </c>
      <c r="B95" s="29" t="inlineStr">
        <is>
          <t xml:space="preserve">    Формирование протоколов испытаний</t>
        </is>
      </c>
      <c r="C95" s="14" t="n">
        <v>10</v>
      </c>
      <c r="D95" s="14" t="n">
        <v>2</v>
      </c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18" t="n"/>
      <c r="O95" s="18" t="n"/>
      <c r="P95" s="22" t="n"/>
      <c r="Q95" s="22" t="n"/>
      <c r="R95" s="22" t="n"/>
      <c r="S95" s="22" t="n"/>
    </row>
    <row r="96">
      <c r="A96" s="12" t="inlineStr">
        <is>
          <t>4.1.5</t>
        </is>
      </c>
      <c r="B96" s="29" t="inlineStr">
        <is>
          <t xml:space="preserve">    Составление отчетов о тестировании</t>
        </is>
      </c>
      <c r="C96" s="14" t="n">
        <v>11</v>
      </c>
      <c r="D96" s="14" t="n">
        <v>1</v>
      </c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18" t="n"/>
      <c r="P96" s="22" t="n"/>
      <c r="Q96" s="22" t="n"/>
      <c r="R96" s="22" t="n"/>
      <c r="S96" s="22" t="n"/>
    </row>
    <row r="97">
      <c r="A97" s="12" t="inlineStr">
        <is>
          <t>4.3.5</t>
        </is>
      </c>
      <c r="B97" s="29" t="inlineStr">
        <is>
          <t xml:space="preserve">    Документирование плана восстановления и протоколов DR-тестов</t>
        </is>
      </c>
      <c r="C97" s="14" t="n">
        <v>11</v>
      </c>
      <c r="D97" s="14" t="n">
        <v>2</v>
      </c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18" t="n"/>
      <c r="P97" s="22" t="n"/>
      <c r="Q97" s="22" t="n"/>
      <c r="R97" s="22" t="n"/>
      <c r="S97" s="22" t="n"/>
    </row>
    <row r="98">
      <c r="A98" s="2" t="inlineStr">
        <is>
          <t>5</t>
        </is>
      </c>
      <c r="B98" s="25" t="inlineStr">
        <is>
          <t>Развертывание</t>
        </is>
      </c>
      <c r="C98" s="4" t="n">
        <v>11</v>
      </c>
      <c r="D98" s="4" t="n">
        <v>19</v>
      </c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6" t="n"/>
      <c r="P98" s="26" t="n"/>
      <c r="Q98" s="26" t="n"/>
      <c r="R98" s="26" t="n"/>
      <c r="S98" s="26" t="n"/>
    </row>
    <row r="99">
      <c r="A99" s="7" t="inlineStr">
        <is>
          <t>5.1</t>
        </is>
      </c>
      <c r="B99" s="27" t="inlineStr">
        <is>
          <t xml:space="preserve">  Развертывание инфраструктуры</t>
        </is>
      </c>
      <c r="C99" s="9" t="n">
        <v>11</v>
      </c>
      <c r="D99" s="9" t="n">
        <v>9</v>
      </c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31" t="n"/>
      <c r="P99" s="31" t="n"/>
      <c r="Q99" s="31" t="n"/>
      <c r="R99" s="22" t="n"/>
      <c r="S99" s="22" t="n"/>
    </row>
    <row r="100">
      <c r="A100" s="7" t="inlineStr">
        <is>
          <t>5.3</t>
        </is>
      </c>
      <c r="B100" s="27" t="inlineStr">
        <is>
          <t xml:space="preserve">  Документация и передача 🔄</t>
        </is>
      </c>
      <c r="C100" s="9" t="n">
        <v>11</v>
      </c>
      <c r="D100" s="9" t="n">
        <v>12</v>
      </c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8" t="n"/>
      <c r="P100" s="28" t="n"/>
      <c r="Q100" s="28" t="n"/>
      <c r="R100" s="28" t="n"/>
      <c r="S100" s="22" t="n"/>
    </row>
    <row r="101">
      <c r="A101" s="12" t="inlineStr">
        <is>
          <t>5.1.1</t>
        </is>
      </c>
      <c r="B101" s="29" t="inlineStr">
        <is>
          <t xml:space="preserve">    Подготовка серверной инфраструктуры</t>
        </is>
      </c>
      <c r="C101" s="14" t="n">
        <v>11</v>
      </c>
      <c r="D101" s="14" t="n">
        <v>2</v>
      </c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18" t="n"/>
      <c r="P101" s="18" t="n"/>
      <c r="Q101" s="22" t="n"/>
      <c r="R101" s="22" t="n"/>
      <c r="S101" s="22" t="n"/>
    </row>
    <row r="102">
      <c r="A102" s="12" t="inlineStr">
        <is>
          <t>5.3.1</t>
        </is>
      </c>
      <c r="B102" s="29" t="inlineStr">
        <is>
          <t xml:space="preserve">    Разработка эксплуатационной документации</t>
        </is>
      </c>
      <c r="C102" s="14" t="n">
        <v>11</v>
      </c>
      <c r="D102" s="14" t="n">
        <v>3</v>
      </c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18" t="n"/>
      <c r="P102" s="18" t="n"/>
      <c r="Q102" s="22" t="n"/>
      <c r="R102" s="22" t="n"/>
      <c r="S102" s="22" t="n"/>
    </row>
    <row r="103">
      <c r="A103" s="12" t="inlineStr">
        <is>
          <t>5.3.2</t>
        </is>
      </c>
      <c r="B103" s="29" t="inlineStr">
        <is>
          <t xml:space="preserve">    Документирование процедур восстановления и DR 🔄</t>
        </is>
      </c>
      <c r="C103" s="14" t="n">
        <v>11</v>
      </c>
      <c r="D103" s="14" t="n">
        <v>2</v>
      </c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30" t="n"/>
      <c r="P103" s="30" t="n"/>
      <c r="Q103" s="22" t="n"/>
      <c r="R103" s="22" t="n"/>
      <c r="S103" s="22" t="n"/>
    </row>
    <row r="104">
      <c r="A104" s="12" t="inlineStr">
        <is>
          <t>5.1.2</t>
        </is>
      </c>
      <c r="B104" s="29" t="inlineStr">
        <is>
          <t xml:space="preserve">    Развертывание ADQM</t>
        </is>
      </c>
      <c r="C104" s="14" t="n">
        <v>12</v>
      </c>
      <c r="D104" s="14" t="n">
        <v>2</v>
      </c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18" t="n"/>
      <c r="Q104" s="22" t="n"/>
      <c r="R104" s="22" t="n"/>
      <c r="S104" s="22" t="n"/>
    </row>
    <row r="105">
      <c r="A105" s="12" t="inlineStr">
        <is>
          <t>5.1.3</t>
        </is>
      </c>
      <c r="B105" s="29" t="inlineStr">
        <is>
          <t xml:space="preserve">    Развертывание Postgres Pro 🔄</t>
        </is>
      </c>
      <c r="C105" s="14" t="n">
        <v>12</v>
      </c>
      <c r="D105" s="14" t="n">
        <v>2</v>
      </c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30" t="n"/>
      <c r="Q105" s="22" t="n"/>
      <c r="R105" s="22" t="n"/>
      <c r="S105" s="22" t="n"/>
    </row>
    <row r="106">
      <c r="A106" s="12" t="inlineStr">
        <is>
          <t>5.3.3</t>
        </is>
      </c>
      <c r="B106" s="29" t="inlineStr">
        <is>
          <t xml:space="preserve">    Проведение обучения эксплуатационного персонала</t>
        </is>
      </c>
      <c r="C106" s="14" t="n">
        <v>12</v>
      </c>
      <c r="D106" s="14" t="n">
        <v>2</v>
      </c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18" t="n"/>
      <c r="Q106" s="22" t="n"/>
      <c r="R106" s="22" t="n"/>
      <c r="S106" s="22" t="n"/>
    </row>
    <row r="107">
      <c r="A107" s="12" t="inlineStr">
        <is>
          <t>5.1.4</t>
        </is>
      </c>
      <c r="B107" s="29" t="inlineStr">
        <is>
          <t xml:space="preserve">    Настройка репликации и резервного копирования</t>
        </is>
      </c>
      <c r="C107" s="14" t="n">
        <v>12</v>
      </c>
      <c r="D107" s="14" t="n">
        <v>2</v>
      </c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18" t="n"/>
      <c r="Q107" s="22" t="n"/>
      <c r="R107" s="22" t="n"/>
      <c r="S107" s="22" t="n"/>
    </row>
    <row r="108">
      <c r="A108" s="12" t="inlineStr">
        <is>
          <t>5.3.4</t>
        </is>
      </c>
      <c r="B108" s="29" t="inlineStr">
        <is>
          <t xml:space="preserve">    Подготовка и согласование приказа о вводе</t>
        </is>
      </c>
      <c r="C108" s="14" t="n">
        <v>12</v>
      </c>
      <c r="D108" s="14" t="n">
        <v>3</v>
      </c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18" t="n"/>
      <c r="Q108" s="18" t="n"/>
      <c r="R108" s="22" t="n"/>
      <c r="S108" s="22" t="n"/>
    </row>
    <row r="109">
      <c r="A109" s="12" t="inlineStr">
        <is>
          <t>5.1.5</t>
        </is>
      </c>
      <c r="B109" s="29" t="inlineStr">
        <is>
          <t xml:space="preserve">    Настройка мониторинга и проверка отказоустойчивости</t>
        </is>
      </c>
      <c r="C109" s="14" t="n">
        <v>13</v>
      </c>
      <c r="D109" s="14" t="n">
        <v>2</v>
      </c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18" t="n"/>
      <c r="R109" s="22" t="n"/>
      <c r="S109" s="22" t="n"/>
    </row>
    <row r="110">
      <c r="A110" s="12" t="inlineStr">
        <is>
          <t>5.3.5</t>
        </is>
      </c>
      <c r="B110" s="29" t="inlineStr">
        <is>
          <t xml:space="preserve">    Финальная передача материалов и подписание актов</t>
        </is>
      </c>
      <c r="C110" s="14" t="n">
        <v>13</v>
      </c>
      <c r="D110" s="14" t="n">
        <v>2</v>
      </c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18" t="n"/>
      <c r="R110" s="22" t="n"/>
      <c r="S110" s="22" t="n"/>
    </row>
    <row r="111">
      <c r="A111" s="7" t="inlineStr">
        <is>
          <t>5.2</t>
        </is>
      </c>
      <c r="B111" s="27" t="inlineStr">
        <is>
          <t xml:space="preserve">  Развертывание в зоне постоянной эксплуатации</t>
        </is>
      </c>
      <c r="C111" s="9" t="n">
        <v>13</v>
      </c>
      <c r="D111" s="9" t="n">
        <v>10</v>
      </c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31" t="n"/>
      <c r="R111" s="31" t="n"/>
      <c r="S111" s="31" t="n"/>
    </row>
    <row r="112">
      <c r="A112" s="12" t="inlineStr">
        <is>
          <t>5.2.1</t>
        </is>
      </c>
      <c r="B112" s="29" t="inlineStr">
        <is>
          <t xml:space="preserve">    Разработка плана миграции и процедур отката 🔄</t>
        </is>
      </c>
      <c r="C112" s="14" t="n">
        <v>13</v>
      </c>
      <c r="D112" s="14" t="n">
        <v>1</v>
      </c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30" t="n"/>
      <c r="R112" s="22" t="n"/>
      <c r="S112" s="22" t="n"/>
    </row>
    <row r="113">
      <c r="A113" s="12" t="inlineStr">
        <is>
          <t>5.2.2</t>
        </is>
      </c>
      <c r="B113" s="29" t="inlineStr">
        <is>
          <t xml:space="preserve">    Подготовка и настройка инфраструктуры ЗПЭ 🔄</t>
        </is>
      </c>
      <c r="C113" s="14" t="n">
        <v>13</v>
      </c>
      <c r="D113" s="14" t="n">
        <v>2</v>
      </c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30" t="n"/>
      <c r="R113" s="22" t="n"/>
      <c r="S113" s="22" t="n"/>
    </row>
    <row r="114">
      <c r="A114" s="12" t="inlineStr">
        <is>
          <t>5.2.3</t>
        </is>
      </c>
      <c r="B114" s="29" t="inlineStr">
        <is>
          <t xml:space="preserve">    Настройка репликации БД и резервного копирования</t>
        </is>
      </c>
      <c r="C114" s="14" t="n">
        <v>14</v>
      </c>
      <c r="D114" s="14" t="n">
        <v>2</v>
      </c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18" t="n"/>
      <c r="S114" s="22" t="n"/>
    </row>
    <row r="115">
      <c r="A115" s="12" t="inlineStr">
        <is>
          <t>5.2.4</t>
        </is>
      </c>
      <c r="B115" s="29" t="inlineStr">
        <is>
          <t xml:space="preserve">    Развертывание приложения в ЗПЭ</t>
        </is>
      </c>
      <c r="C115" s="14" t="n">
        <v>14</v>
      </c>
      <c r="D115" s="14" t="n">
        <v>2</v>
      </c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18" t="n"/>
      <c r="S115" s="22" t="n"/>
    </row>
    <row r="116">
      <c r="A116" s="12" t="inlineStr">
        <is>
          <t>5.2.5</t>
        </is>
      </c>
      <c r="B116" s="29" t="inlineStr">
        <is>
          <t xml:space="preserve">    Настройка катастрофоустойчивости и failover</t>
        </is>
      </c>
      <c r="C116" s="14" t="n">
        <v>14</v>
      </c>
      <c r="D116" s="14" t="n">
        <v>2</v>
      </c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18" t="n"/>
      <c r="S116" s="18" t="n"/>
    </row>
    <row r="117">
      <c r="A117" s="12" t="inlineStr">
        <is>
          <t>5.2.6</t>
        </is>
      </c>
      <c r="B117" s="29" t="inlineStr">
        <is>
          <t xml:space="preserve">    Проведение приемочных испытаний развертывания</t>
        </is>
      </c>
      <c r="C117" s="14" t="n">
        <v>15</v>
      </c>
      <c r="D117" s="14" t="n">
        <v>2</v>
      </c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18" t="n"/>
    </row>
    <row r="120">
      <c r="A120" s="32" t="inlineStr">
        <is>
          <t>Легенда:</t>
        </is>
      </c>
    </row>
    <row r="121">
      <c r="A121" s="26" t="inlineStr">
        <is>
          <t>■</t>
        </is>
      </c>
      <c r="B121" t="inlineStr">
        <is>
          <t>Фаза</t>
        </is>
      </c>
    </row>
    <row r="122">
      <c r="A122" s="31" t="inlineStr">
        <is>
          <t>■</t>
        </is>
      </c>
      <c r="B122" t="inlineStr">
        <is>
          <t>Пакет работ (последовательно)</t>
        </is>
      </c>
    </row>
    <row r="123">
      <c r="A123" s="28" t="inlineStr">
        <is>
          <t>■</t>
        </is>
      </c>
      <c r="B123" t="inlineStr">
        <is>
          <t>Пакет работ (параллельно) 🔄</t>
        </is>
      </c>
    </row>
    <row r="124">
      <c r="A124" s="18" t="inlineStr">
        <is>
          <t>■</t>
        </is>
      </c>
      <c r="B124" t="inlineStr">
        <is>
          <t>Задача (последовательно)</t>
        </is>
      </c>
    </row>
    <row r="125">
      <c r="A125" s="30" t="inlineStr">
        <is>
          <t>■</t>
        </is>
      </c>
      <c r="B125" t="inlineStr">
        <is>
          <t>Задача (параллельно) 🔄</t>
        </is>
      </c>
    </row>
    <row r="127">
      <c r="A127" s="24" t="inlineStr">
        <is>
          <t>Примечание: W = рабочая неделя (5 дней). 🔄 = может выполняться параллельно с другими задачами. Параллельные задачи начинаются одновременно.</t>
        </is>
      </c>
    </row>
  </sheetData>
  <mergeCells count="1">
    <mergeCell ref="A127:O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2026-03-17T11:49:07Z</dcterms:created>
  <dcterms:modified xmlns:dcterms="http://purl.org/dc/terms/" xmlns:xsi="http://www.w3.org/2001/XMLSchema-instance" xsi:type="dcterms:W3CDTF">2026-03-17T11:49:08Z</dcterms:modified>
</cp:coreProperties>
</file>